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F:\data-analytics-learning-journey\excel\Practice\"/>
    </mc:Choice>
  </mc:AlternateContent>
  <xr:revisionPtr revIDLastSave="0" documentId="13_ncr:1_{BCEDC7DE-966C-4EEE-BBAE-5CA9FBA7483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formatingsuperstore" sheetId="1" r:id="rId1"/>
    <sheet name="Sorting_Filtering" sheetId="2" r:id="rId2"/>
    <sheet name="Basic_Formulas" sheetId="3" r:id="rId3"/>
    <sheet name="IF_Analysi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D2" i="6" l="1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Y2" i="6"/>
  <c r="Y3" i="6"/>
  <c r="Y4" i="6"/>
  <c r="Y5" i="6"/>
  <c r="Y6" i="6"/>
  <c r="Y7" i="6"/>
  <c r="Y8" i="6"/>
  <c r="Y9" i="6"/>
  <c r="Y10" i="6"/>
  <c r="Y11" i="6"/>
  <c r="Y12" i="6"/>
  <c r="Y13" i="6"/>
  <c r="AA13" i="6" s="1"/>
  <c r="Y14" i="6"/>
  <c r="Y15" i="6"/>
  <c r="Y16" i="6"/>
  <c r="Y17" i="6"/>
  <c r="Y18" i="6"/>
  <c r="Y19" i="6"/>
  <c r="Y20" i="6"/>
  <c r="Y21" i="6"/>
  <c r="Y22" i="6"/>
  <c r="Y23" i="6"/>
  <c r="Y24" i="6"/>
  <c r="Y25" i="6"/>
  <c r="AA25" i="6" s="1"/>
  <c r="Y26" i="6"/>
  <c r="Y27" i="6"/>
  <c r="Y28" i="6"/>
  <c r="Y29" i="6"/>
  <c r="Y30" i="6"/>
  <c r="Y31" i="6"/>
  <c r="Y32" i="6"/>
  <c r="Y33" i="6"/>
  <c r="Y34" i="6"/>
  <c r="Y35" i="6"/>
  <c r="Y36" i="6"/>
  <c r="Y37" i="6"/>
  <c r="AA37" i="6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B11" i="3"/>
  <c r="B10" i="3"/>
  <c r="B9" i="3"/>
  <c r="S52" i="3"/>
  <c r="T52" i="3"/>
  <c r="U52" i="3"/>
  <c r="S51" i="3"/>
  <c r="T51" i="3"/>
  <c r="U51" i="3"/>
  <c r="S50" i="3"/>
  <c r="T50" i="3"/>
  <c r="U50" i="3"/>
  <c r="S49" i="3"/>
  <c r="T49" i="3"/>
  <c r="U49" i="3"/>
  <c r="B8" i="3" s="1"/>
  <c r="R52" i="3"/>
  <c r="R51" i="3"/>
  <c r="R50" i="3"/>
  <c r="R49" i="3"/>
  <c r="B3" i="3" s="1"/>
  <c r="AA36" i="6" l="1"/>
  <c r="AA35" i="6"/>
  <c r="AA12" i="6"/>
  <c r="AA9" i="6"/>
  <c r="AA11" i="6"/>
  <c r="AA32" i="6"/>
  <c r="AA20" i="6"/>
  <c r="AA8" i="6"/>
  <c r="AA21" i="6"/>
  <c r="AA31" i="6"/>
  <c r="AA19" i="6"/>
  <c r="AA7" i="6"/>
  <c r="AA34" i="6"/>
  <c r="AA33" i="6"/>
  <c r="AA30" i="6"/>
  <c r="AA18" i="6"/>
  <c r="AA6" i="6"/>
  <c r="AA24" i="6"/>
  <c r="AA29" i="6"/>
  <c r="AA17" i="6"/>
  <c r="AA5" i="6"/>
  <c r="AA23" i="6"/>
  <c r="AA28" i="6"/>
  <c r="AA16" i="6"/>
  <c r="AA4" i="6"/>
  <c r="AA22" i="6"/>
  <c r="AA27" i="6"/>
  <c r="AA15" i="6"/>
  <c r="AA3" i="6"/>
  <c r="AA10" i="6"/>
  <c r="AA26" i="6"/>
  <c r="AA14" i="6"/>
  <c r="AA2" i="6"/>
  <c r="B5" i="3"/>
  <c r="B4" i="3"/>
  <c r="B6" i="3"/>
</calcChain>
</file>

<file path=xl/sharedStrings.xml><?xml version="1.0" encoding="utf-8"?>
<sst xmlns="http://schemas.openxmlformats.org/spreadsheetml/2006/main" count="1984" uniqueCount="220">
  <si>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</si>
  <si>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</si>
  <si>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</si>
  <si>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</si>
  <si>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</si>
  <si>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</si>
  <si>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</si>
  <si>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</si>
  <si>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</si>
  <si>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</si>
  <si>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</si>
  <si>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</si>
  <si>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</si>
  <si>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</si>
  <si>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</si>
  <si>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</si>
  <si>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</si>
  <si>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</si>
  <si>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</si>
  <si>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</si>
  <si>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</si>
  <si>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</si>
  <si>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</si>
  <si>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</si>
  <si>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</si>
  <si>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</si>
  <si>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</si>
  <si>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</si>
  <si>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</si>
  <si>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</si>
  <si>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</si>
  <si>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</si>
  <si>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</si>
  <si>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</si>
  <si>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</si>
  <si>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</si>
  <si>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</si>
  <si>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</si>
  <si>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</si>
  <si>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</si>
  <si>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</si>
  <si>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</si>
  <si>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</si>
  <si>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</si>
  <si>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</si>
  <si>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</si>
  <si>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</si>
  <si>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</si>
  <si>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</si>
  <si>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</si>
  <si>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</si>
  <si>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</si>
  <si>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</si>
  <si>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</si>
  <si>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</si>
  <si>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</si>
  <si>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</si>
  <si>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</si>
  <si>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</si>
  <si>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</si>
  <si>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</si>
  <si>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</si>
  <si>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</si>
  <si>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</si>
  <si>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</si>
  <si>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</si>
  <si>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</si>
  <si>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</si>
  <si>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</si>
  <si>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</si>
  <si>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</si>
  <si>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</si>
  <si>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</si>
  <si>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</si>
  <si>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</si>
  <si>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</si>
  <si>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</si>
  <si>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</si>
  <si>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</si>
  <si>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</si>
  <si>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</si>
  <si>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</si>
  <si>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</si>
  <si>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</si>
  <si>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</si>
  <si>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</si>
  <si>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</si>
  <si>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</si>
  <si>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</si>
  <si>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</si>
  <si>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</si>
  <si>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</si>
  <si>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</si>
  <si>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</si>
  <si>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</si>
  <si>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</si>
  <si>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</si>
  <si>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</si>
  <si>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</si>
  <si>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</si>
  <si>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</si>
  <si>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</si>
  <si>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</si>
  <si>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</si>
  <si>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</si>
  <si>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</si>
  <si>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</si>
  <si>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</si>
  <si>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</si>
  <si>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</si>
  <si>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</si>
  <si>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</si>
  <si>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</si>
  <si>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</si>
  <si>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</si>
  <si>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</si>
  <si>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</si>
  <si>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</si>
  <si>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</si>
  <si>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</si>
  <si>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</si>
  <si>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</si>
  <si>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</si>
  <si>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</si>
  <si>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</si>
  <si>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</si>
  <si>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</si>
  <si>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</si>
  <si>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</si>
  <si>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</si>
  <si>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</si>
  <si>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</si>
  <si>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</si>
  <si>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</si>
  <si>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</si>
  <si>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</si>
  <si>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</si>
  <si>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</si>
  <si>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</si>
  <si>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</si>
  <si>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</si>
  <si>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</si>
  <si>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</si>
  <si>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</si>
  <si>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</si>
  <si>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</si>
  <si>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</si>
  <si>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</si>
  <si>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</si>
  <si>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</si>
  <si>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</si>
  <si>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</si>
  <si>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</si>
  <si>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</si>
  <si>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</si>
  <si>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</si>
  <si>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</si>
  <si>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</si>
  <si>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</si>
  <si>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</si>
  <si>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</si>
  <si>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</si>
  <si>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</si>
  <si>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</si>
  <si>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</si>
  <si>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</si>
  <si>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</si>
  <si>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</si>
  <si>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</si>
  <si>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</si>
  <si>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</si>
  <si>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</si>
  <si>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</si>
  <si>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</si>
  <si>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</si>
  <si>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</si>
  <si>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</si>
  <si>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</si>
  <si>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</si>
  <si>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</si>
  <si>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</si>
  <si>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</si>
  <si>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</si>
  <si>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</si>
  <si>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</si>
  <si>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</si>
  <si>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</si>
  <si>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</si>
  <si>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</si>
  <si>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</si>
  <si>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</si>
  <si>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</si>
  <si>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</si>
  <si>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Value</t>
  </si>
  <si>
    <t>Total Sales</t>
  </si>
  <si>
    <t>Average Sales</t>
  </si>
  <si>
    <t>Highest Sale</t>
  </si>
  <si>
    <t>Lowest Sale</t>
  </si>
  <si>
    <t>Total Profit</t>
  </si>
  <si>
    <t>Average Profit</t>
  </si>
  <si>
    <t>Highest Profit</t>
  </si>
  <si>
    <t>Lowest Profit</t>
  </si>
  <si>
    <t xml:space="preserve">  Superstore Sales Summary</t>
  </si>
  <si>
    <r>
      <rPr>
        <b/>
        <sz val="11"/>
        <color theme="1"/>
        <rFont val="Calibri"/>
        <family val="2"/>
        <scheme val="minor"/>
      </rPr>
      <t>Metric</t>
    </r>
    <r>
      <rPr>
        <sz val="11"/>
        <color theme="1"/>
        <rFont val="Calibri"/>
        <family val="2"/>
        <scheme val="minor"/>
      </rPr>
      <t xml:space="preserve"> </t>
    </r>
  </si>
  <si>
    <t>Business Insights</t>
  </si>
  <si>
    <t xml:space="preserve">Total sales shows that </t>
  </si>
  <si>
    <t>The profit situation suggests</t>
  </si>
  <si>
    <t xml:space="preserve">The average order value is </t>
  </si>
  <si>
    <t xml:space="preserve">میانگین فروش هر سفارش ۷۳۲.۰۳ دلار است، اما با توجه به فاصله زیاد بین کمترین فروش (۲.۵۴ دلار) و بیشترین فروش (۱۲,۹۱۸ دلار)، این میانگین عدد فریبنده‌ای است و نشان‌دهنده نوسان بسیار بالا در مبلغ سفارشات است </t>
  </si>
  <si>
    <t>وضعیت سود بحرانی است! با وجود فروش ۲۹ هزار دلاری، مجموع سود شما منفی است و ۳,۴۳۳.۰۲ دلار ضرر (Loss) ثبت شده است . این یعنی هزینه‌ها یا تخفیف‌ها به قدری زیاد بوده که کل درآمد را از بین برده و بیزنس در حال از دست دادن پول است .</t>
  </si>
  <si>
    <t>مجموع فروش شما ۲۹,۲۸۱.۳۴ دلار است، اما نکته مهم اینجاست که بیشترین فروش (Highest Sale) یعنی ۱۲,۹۱۸.۲۶ دلار، به تنهایی حدود ۴۴٪ کل فروش شما را تشکیل می‌دهد . این نشان می‌دهد بیزنس شما به شدت به یک یا چند سفارش بسیار بزرگ وابسته است.</t>
  </si>
  <si>
    <t>Profit Status</t>
  </si>
  <si>
    <t>Sales Level</t>
  </si>
  <si>
    <t>Discount Level</t>
  </si>
  <si>
    <t>Risk Flag</t>
  </si>
  <si>
    <t xml:space="preserve">Profit Category </t>
  </si>
  <si>
    <t>COUNTHigh Profit</t>
  </si>
  <si>
    <t xml:space="preserve">Discount Risk </t>
  </si>
  <si>
    <t>Risk Alarm</t>
  </si>
  <si>
    <t>Order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</si>
</sst>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2">
    <xf numFmtId="0" fontId="0" fillId="0" borderId="0" xfId="0"/>
    <xf numFmtId="0" fontId="1" fillId="2" borderId="1" xfId="0" applyFont="1" applyFill="1" applyBorder="1"/>
    <xf numFmtId="0" fontId="0" fillId="0" borderId="2" xfId="0" quotePrefix="1" applyBorder="1"/>
    <xf numFmtId="14" fontId="0" fillId="0" borderId="2" xfId="0" applyNumberFormat="1" applyBorder="1"/>
    <xf numFmtId="0" fontId="0" fillId="0" borderId="2" xfId="0" applyBorder="1"/>
    <xf numFmtId="0" fontId="0" fillId="0" borderId="3" xfId="0" quotePrefix="1" applyBorder="1"/>
    <xf numFmtId="0" fontId="0" fillId="0" borderId="4" xfId="0" quotePrefix="1" applyBorder="1"/>
    <xf numFmtId="0" fontId="1" fillId="2" borderId="3" xfId="0" quotePrefix="1" applyFont="1" applyFill="1" applyBorder="1"/>
    <xf numFmtId="0" fontId="1" fillId="2" borderId="2" xfId="0" quotePrefix="1" applyFont="1" applyFill="1" applyBorder="1"/>
    <xf numFmtId="0" fontId="1" fillId="2" borderId="4" xfId="0" quotePrefix="1" applyFont="1" applyFill="1" applyBorder="1"/>
    <xf numFmtId="14" fontId="0" fillId="3" borderId="2" xfId="0" applyNumberFormat="1" applyFill="1" applyBorder="1"/>
    <xf numFmtId="0" fontId="0" fillId="3" borderId="2" xfId="0" quotePrefix="1" applyFill="1" applyBorder="1"/>
    <xf numFmtId="0" fontId="0" fillId="0" borderId="4" xfId="0" applyBorder="1"/>
    <xf numFmtId="0" fontId="0" fillId="0" borderId="3" xfId="0" applyBorder="1"/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/>
    </xf>
    <xf numFmtId="0" fontId="0" fillId="5" borderId="7" xfId="0" applyFill="1" applyBorder="1"/>
    <xf numFmtId="0" fontId="0" fillId="5" borderId="8" xfId="0" applyFill="1" applyBorder="1"/>
    <xf numFmtId="0" fontId="0" fillId="0" borderId="7" xfId="0" applyBorder="1"/>
    <xf numFmtId="44" fontId="0" fillId="0" borderId="8" xfId="1" applyFont="1" applyBorder="1"/>
    <xf numFmtId="0" fontId="0" fillId="6" borderId="7" xfId="0" applyFill="1" applyBorder="1"/>
    <xf numFmtId="44" fontId="0" fillId="6" borderId="8" xfId="1" applyFont="1" applyFill="1" applyBorder="1"/>
    <xf numFmtId="0" fontId="0" fillId="7" borderId="7" xfId="0" applyFill="1" applyBorder="1"/>
    <xf numFmtId="44" fontId="0" fillId="7" borderId="8" xfId="1" applyFont="1" applyFill="1" applyBorder="1"/>
    <xf numFmtId="0" fontId="0" fillId="7" borderId="9" xfId="0" applyFill="1" applyBorder="1"/>
    <xf numFmtId="44" fontId="0" fillId="7" borderId="10" xfId="1" applyFont="1" applyFill="1" applyBorder="1"/>
    <xf numFmtId="0" fontId="5" fillId="4" borderId="2" xfId="0" applyFont="1" applyFill="1" applyBorder="1"/>
    <xf numFmtId="0" fontId="3" fillId="6" borderId="2" xfId="0" applyFont="1" applyFill="1" applyBorder="1"/>
    <xf numFmtId="0" fontId="0" fillId="8" borderId="2" xfId="0" applyFill="1" applyBorder="1" applyAlignment="1">
      <alignment wrapText="1"/>
    </xf>
    <xf numFmtId="0" fontId="0" fillId="8" borderId="2" xfId="0" applyFill="1" applyBorder="1" applyAlignment="1">
      <alignment horizontal="right" vertical="center" wrapText="1"/>
    </xf>
    <xf numFmtId="0" fontId="1" fillId="2" borderId="2" xfId="0" applyFont="1" applyFill="1" applyBorder="1"/>
    <xf numFmtId="0" fontId="0" fillId="0" borderId="2" xfId="0" applyNumberFormat="1" applyBorder="1"/>
  </cellXfs>
  <cellStyles count="2">
    <cellStyle name="Currency" xfId="1" builtinId="4"/>
    <cellStyle name="Normal" xfId="0" builtinId="0"/>
  </cellStyles>
  <dxfs count="125">
    <dxf>
      <numFmt numFmtId="0" formatCode="General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/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 outline="0">
        <left/>
        <right style="thin">
          <color auto="1"/>
        </right>
        <top/>
        <bottom/>
      </border>
    </dxf>
    <dxf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69F12D-8AC7-48A9-A08F-17803E9E6B24}" name="SuperstoreSales" displayName="SuperstoreSales" ref="A1:U37" totalsRowShown="0" headerRowDxfId="124" tableBorderDxfId="123">
  <autoFilter ref="A1:U37" xr:uid="{1E69F12D-8AC7-48A9-A08F-17803E9E6B24}"/>
  <tableColumns count="21">
    <tableColumn id="1" xr3:uid="{FA31B2D5-33DA-4462-B229-C259759C4D7D}" name="Row ID" dataDxfId="122"/>
    <tableColumn id="2" xr3:uid="{968BD4C4-C713-40D5-B91F-58E7B66329FF}" name="Order ID" dataDxfId="121"/>
    <tableColumn id="3" xr3:uid="{BD0CF7EE-B6E2-415C-8722-2C1A24DC1EDF}" name="Order Date" dataDxfId="120"/>
    <tableColumn id="4" xr3:uid="{5765E171-6208-4CF1-99EF-6A71EC5ED2B2}" name="Ship Date" dataDxfId="119"/>
    <tableColumn id="5" xr3:uid="{EAD82179-673A-45F8-85A1-192266C6AC95}" name="Ship Mode" dataDxfId="118"/>
    <tableColumn id="6" xr3:uid="{291990B8-5584-45B4-B243-91D6044F68E6}" name="Customer ID" dataDxfId="117"/>
    <tableColumn id="7" xr3:uid="{2208D96F-21C5-405E-B928-DD1A4C7D36C3}" name="Customer Name" dataDxfId="116"/>
    <tableColumn id="8" xr3:uid="{E6C31917-3397-45EC-A0A9-F448E898F048}" name="Segment" dataDxfId="115"/>
    <tableColumn id="9" xr3:uid="{F57F55F3-A94A-4A3A-BDF9-CF153E419B6E}" name="Country" dataDxfId="114"/>
    <tableColumn id="10" xr3:uid="{5D2BB34C-4D7E-4F4B-97D7-9386847A8CB3}" name="City" dataDxfId="113"/>
    <tableColumn id="11" xr3:uid="{2FC56003-262F-4320-9EF0-C8D32A0FA622}" name="State" dataDxfId="112"/>
    <tableColumn id="12" xr3:uid="{C4DD1194-972D-4039-AF6D-4A5BEDA411C8}" name="Postal Code" dataDxfId="111"/>
    <tableColumn id="13" xr3:uid="{186AE7A6-8277-41C7-BD6A-C0BC6429BE64}" name="Region" dataDxfId="110"/>
    <tableColumn id="14" xr3:uid="{46A78940-0EC2-47A8-8BFC-9F21C9D8CBA0}" name="Product ID" dataDxfId="109"/>
    <tableColumn id="15" xr3:uid="{A3546CAD-56EF-462E-98C5-5A62A9506DB8}" name="Category" dataDxfId="108"/>
    <tableColumn id="16" xr3:uid="{158DF1F3-09EB-4D11-AF11-1E8A5050DBE2}" name="Sub-Category" dataDxfId="107"/>
    <tableColumn id="17" xr3:uid="{3C895A74-C5C2-4E07-8A36-A5A125D51A5D}" name="Product Name" dataDxfId="106"/>
    <tableColumn id="18" xr3:uid="{64623035-72EC-4F9A-BBEE-A504FD5F0ADE}" name="Sales" dataDxfId="105"/>
    <tableColumn id="19" xr3:uid="{8A997D98-8442-4606-AE5C-A0C638CBAECB}" name="Quantity" dataDxfId="104"/>
    <tableColumn id="20" xr3:uid="{AF2E7CB7-CA15-4CB4-A7CF-E2159A26C05C}" name="Discount" dataDxfId="103"/>
    <tableColumn id="21" xr3:uid="{FE187258-B5C6-4BA4-A16C-3AA177872F33}" name="Profit" dataDxfId="10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02ACD3-3370-4D71-9812-795B4C7936EF}" name="SuperstoreSales3" displayName="SuperstoreSales3" ref="A1:U37" totalsRowShown="0" headerRowDxfId="101" tableBorderDxfId="100">
  <autoFilter ref="A1:U37" xr:uid="{4402ACD3-3370-4D71-9812-795B4C7936EF}"/>
  <sortState xmlns:xlrd2="http://schemas.microsoft.com/office/spreadsheetml/2017/richdata2" ref="A2:U37">
    <sortCondition descending="1" ref="F2:F37" customList="Sunday,Monday,Tuesday,Wednesday,Thursday,Friday,Saturday"/>
  </sortState>
  <tableColumns count="21">
    <tableColumn id="1" xr3:uid="{6C6E1424-22BE-4626-B23E-2EF4ACC4D9E0}" name="Row ID" dataDxfId="99"/>
    <tableColumn id="2" xr3:uid="{0D7CD4B0-E203-456B-A445-E2BAF4A78898}" name="Order ID" dataDxfId="98"/>
    <tableColumn id="3" xr3:uid="{6906887E-CF9A-4196-8513-AF1E32DAC1DE}" name="Order Date" dataDxfId="97"/>
    <tableColumn id="4" xr3:uid="{4DE79232-90A8-4F97-BBAC-04E4266E6EBC}" name="Ship Date" dataDxfId="96"/>
    <tableColumn id="5" xr3:uid="{58DF87B9-8D3F-42F3-976F-01C0B566318B}" name="Ship Mode" dataDxfId="95"/>
    <tableColumn id="6" xr3:uid="{7A42AD76-ADBE-4CE0-AFF5-EC6914A79E19}" name="Customer ID" dataDxfId="94"/>
    <tableColumn id="7" xr3:uid="{2EECBAFA-668D-4AC0-ABA5-D604A8798529}" name="Customer Name" dataDxfId="93"/>
    <tableColumn id="8" xr3:uid="{22A8638E-6446-4FAA-963A-DB8986B95003}" name="Segment" dataDxfId="92"/>
    <tableColumn id="9" xr3:uid="{54EE4C7C-AE99-47EF-8C66-2944259FFEF8}" name="Country" dataDxfId="91"/>
    <tableColumn id="10" xr3:uid="{D1960ED9-A276-4380-9AFD-0F1B895F5A7C}" name="City" dataDxfId="90"/>
    <tableColumn id="11" xr3:uid="{FD6037FD-83C5-4B09-B18B-ACBC00113F5B}" name="State" dataDxfId="89"/>
    <tableColumn id="12" xr3:uid="{B68D46B0-A870-4A7B-A67B-E8726755261A}" name="Postal Code" dataDxfId="88"/>
    <tableColumn id="13" xr3:uid="{1CBA34E2-73DE-49D5-8C8A-358FA1F8E815}" name="Region" dataDxfId="87"/>
    <tableColumn id="14" xr3:uid="{2FBBBC5E-9B57-4D00-A80E-9E0EFB68CEF8}" name="Product ID" dataDxfId="86"/>
    <tableColumn id="15" xr3:uid="{9D9AE51C-85AC-4335-AF74-526C40D6510B}" name="Category" dataDxfId="85"/>
    <tableColumn id="16" xr3:uid="{C47BCA07-999F-43AE-8F13-542ED64B5809}" name="Sub-Category" dataDxfId="84"/>
    <tableColumn id="17" xr3:uid="{7C9DFB24-AE22-4EAB-BE73-E391E25B482B}" name="Product Name" dataDxfId="83"/>
    <tableColumn id="18" xr3:uid="{099AC821-0A38-4FC1-903F-87A4DFA72670}" name="Sales" dataDxfId="82"/>
    <tableColumn id="19" xr3:uid="{FFC24C06-80FB-44F9-90EA-BF3E369759D0}" name="Quantity" dataDxfId="81"/>
    <tableColumn id="20" xr3:uid="{32FB76CF-2330-42F0-B124-65EF91684A39}" name="Discount" dataDxfId="80"/>
    <tableColumn id="21" xr3:uid="{1CA44A38-F1AC-4C10-91D7-E3ACF8D6241B}" name="Profit" dataDxfId="79"/>
  </tableColumns>
  <tableStyleInfo name="TableStyleMedium2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2C749B-77D6-477E-AF2B-7701150D463D}" name="SuperstoreSales5" displayName="SuperstoreSales5" ref="A12:U49" totalsRowCount="1" headerRowDxfId="78" tableBorderDxfId="77">
  <autoFilter ref="A12:U48" xr:uid="{B32C749B-77D6-477E-AF2B-7701150D463D}"/>
  <tableColumns count="21">
    <tableColumn id="1" xr3:uid="{68B71D3F-FDA7-4E51-8FA0-CF93AC30400A}" name="Row ID" dataDxfId="76" totalsRowDxfId="75"/>
    <tableColumn id="2" xr3:uid="{794F69A6-0BCB-4C99-92ED-E41E1D1C5E20}" name="Order ID" dataDxfId="74" totalsRowDxfId="73"/>
    <tableColumn id="3" xr3:uid="{5B58FE49-A5A9-4BB5-86DA-C38D637AF6DA}" name="Order Date" dataDxfId="72" totalsRowDxfId="71"/>
    <tableColumn id="4" xr3:uid="{7433148C-E515-43ED-B263-00C3129BACF0}" name="Ship Date" dataDxfId="70" totalsRowDxfId="69"/>
    <tableColumn id="5" xr3:uid="{DAAD58AF-533E-4FB4-BD21-BAF92069DCFB}" name="Ship Mode" dataDxfId="68" totalsRowDxfId="67"/>
    <tableColumn id="6" xr3:uid="{0FF2293E-511A-46ED-A816-5CB198C5BDD3}" name="Customer ID" dataDxfId="66" totalsRowDxfId="65"/>
    <tableColumn id="7" xr3:uid="{94A1FC7D-9E73-423B-96FD-A60A050F45A1}" name="Customer Name" dataDxfId="64" totalsRowDxfId="63"/>
    <tableColumn id="8" xr3:uid="{8E3573D9-9312-4E77-9B1A-1A289CAABF5E}" name="Segment" dataDxfId="62" totalsRowDxfId="61"/>
    <tableColumn id="9" xr3:uid="{0761CA48-61AE-4BD4-A5F4-91C80B68E92A}" name="Country" dataDxfId="60" totalsRowDxfId="59"/>
    <tableColumn id="10" xr3:uid="{9AC7A9AD-13B2-4363-B8C3-FF4EADA4E2A0}" name="City" dataDxfId="58" totalsRowDxfId="57"/>
    <tableColumn id="11" xr3:uid="{8F86B758-49D3-45E4-B57B-D88152200AEB}" name="State" dataDxfId="56" totalsRowDxfId="55"/>
    <tableColumn id="12" xr3:uid="{3CCFDB91-958F-4C02-8A11-54824269AD7D}" name="Postal Code" dataDxfId="54" totalsRowDxfId="53"/>
    <tableColumn id="13" xr3:uid="{289243CB-0FEF-4691-91C6-008C77403CD4}" name="Region" dataDxfId="52" totalsRowDxfId="51"/>
    <tableColumn id="14" xr3:uid="{783AE596-1AD8-4ACA-A385-7125F7077BC2}" name="Product ID" dataDxfId="50" totalsRowDxfId="49"/>
    <tableColumn id="15" xr3:uid="{802883EA-8114-4874-B766-40392DA9D8DD}" name="Category" dataDxfId="48" totalsRowDxfId="47"/>
    <tableColumn id="16" xr3:uid="{83559A20-A92D-4528-8C02-701ED3D1519E}" name="Sub-Category" dataDxfId="46" totalsRowDxfId="45"/>
    <tableColumn id="17" xr3:uid="{49B2233F-64BF-4332-9852-11D47AE37B15}" name="Product Name" dataDxfId="44" totalsRowDxfId="43"/>
    <tableColumn id="18" xr3:uid="{CF4A4ABB-D190-4563-BEDF-E3DB5C34E45E}" name="Sales" totalsRowFunction="custom" dataDxfId="42" totalsRowDxfId="41">
      <totalsRowFormula>SUM(R13:R48)</totalsRowFormula>
    </tableColumn>
    <tableColumn id="19" xr3:uid="{5CF9710D-400E-4954-957E-37A0877C9C1C}" name="Quantity" totalsRowFunction="custom" dataDxfId="40" totalsRowDxfId="39">
      <totalsRowFormula>SUM(S13:S48)</totalsRowFormula>
    </tableColumn>
    <tableColumn id="20" xr3:uid="{CC7901A4-BFB6-48D2-BF3A-AE87D305926D}" name="Discount" totalsRowFunction="custom" dataDxfId="38" totalsRowDxfId="37">
      <totalsRowFormula>SUM(T13:T48)</totalsRowFormula>
    </tableColumn>
    <tableColumn id="21" xr3:uid="{3C04BBC8-2B03-47D0-80E7-BFFE850DAEE9}" name="Profit" totalsRowFunction="custom" dataDxfId="36" totalsRowDxfId="35">
      <totalsRowFormula>SUM(U13:U48)</totalsRow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AD88B1-9BA6-4BE8-9491-3B21D5AD079F}" name="SuperstoreSales4" displayName="SuperstoreSales4" ref="A1:AD37" totalsRowShown="0" headerRowDxfId="34" tableBorderDxfId="33">
  <autoFilter ref="A1:AD37" xr:uid="{20AD88B1-9BA6-4BE8-9491-3B21D5AD079F}"/>
  <tableColumns count="30">
    <tableColumn id="1" xr3:uid="{1CEF1330-A45C-47B5-8536-D59023B73A68}" name="Row ID" dataDxfId="32"/>
    <tableColumn id="2" xr3:uid="{D16AB8C5-5CD3-4BF5-9A5F-AC3557EF7CB9}" name="Order ID" dataDxfId="31"/>
    <tableColumn id="3" xr3:uid="{DFBB570A-E031-41B3-BDBE-10CB6EE09FE0}" name="Order Date" dataDxfId="30"/>
    <tableColumn id="4" xr3:uid="{74FD6B3C-A1B2-4B46-969A-E5BF803332BC}" name="Ship Date" dataDxfId="29"/>
    <tableColumn id="5" xr3:uid="{6A41B4FA-90BE-401A-B45B-1C9638F4BCCD}" name="Ship Mode" dataDxfId="28"/>
    <tableColumn id="6" xr3:uid="{3FADE3E8-90EF-424C-AE5B-0FB3F841CE1F}" name="Customer ID" dataDxfId="27"/>
    <tableColumn id="7" xr3:uid="{D5993958-4293-4B9D-8335-38D1A439D05B}" name="Customer Name" dataDxfId="26"/>
    <tableColumn id="8" xr3:uid="{9FE7E3A9-282D-4814-A76E-A7EC49B663F7}" name="Segment" dataDxfId="25"/>
    <tableColumn id="9" xr3:uid="{C1DC4CF4-5C07-4C51-B2EC-1A575FBFF6B7}" name="Country" dataDxfId="24"/>
    <tableColumn id="10" xr3:uid="{61971A40-4D42-46E9-8734-0A8AEA2C0D97}" name="City" dataDxfId="23"/>
    <tableColumn id="11" xr3:uid="{137182C7-1647-4551-BD76-2014674D70A9}" name="State" dataDxfId="22"/>
    <tableColumn id="12" xr3:uid="{04DC4C83-1194-40E4-9218-8AA5E9A8155E}" name="Postal Code" dataDxfId="21"/>
    <tableColumn id="13" xr3:uid="{29706A07-D376-45F3-B726-0B381A450616}" name="Region" dataDxfId="20"/>
    <tableColumn id="14" xr3:uid="{5411C94E-C496-47B6-A238-B55404497CB2}" name="Product ID" dataDxfId="19"/>
    <tableColumn id="15" xr3:uid="{ABF98A36-EF87-483D-B035-1D83D083EACB}" name="Category" dataDxfId="18"/>
    <tableColumn id="16" xr3:uid="{7781B971-106A-4180-ACAD-57F9B8874173}" name="Sub-Category" dataDxfId="17"/>
    <tableColumn id="17" xr3:uid="{6422AA95-1C18-4966-93B9-530A1BC7CEEC}" name="Product Name" dataDxfId="16"/>
    <tableColumn id="18" xr3:uid="{F44AAEC8-81E2-41BA-8016-4710A49EBB0E}" name="Sales" dataDxfId="15"/>
    <tableColumn id="19" xr3:uid="{794D5FD1-7570-4840-8992-7D95C7E6BAB1}" name="Quantity" dataDxfId="14"/>
    <tableColumn id="20" xr3:uid="{9E35D0E6-54F6-45E5-B57E-A185A59D6112}" name="Discount" dataDxfId="13"/>
    <tableColumn id="21" xr3:uid="{A239C5E1-4374-4FE5-B3D0-20D1AADE7029}" name="Profit" dataDxfId="12"/>
    <tableColumn id="22" xr3:uid="{E1E434C7-ECBF-4A01-A3CC-DEB458A93314}" name="Profit Status" dataDxfId="11">
      <calculatedColumnFormula>IF(U2&gt;=0,"Profit","Loss")</calculatedColumnFormula>
    </tableColumn>
    <tableColumn id="25" xr3:uid="{134554EE-5CF3-4593-A9EF-6B231A9530E7}" name="Sales Level" dataDxfId="10">
      <calculatedColumnFormula>IF(R2&gt;500,"High", "Low")</calculatedColumnFormula>
    </tableColumn>
    <tableColumn id="26" xr3:uid="{5241CC07-69D4-4433-96AC-3CB168E274EF}" name="Discount Level" dataDxfId="9">
      <calculatedColumnFormula>IF(T1&gt;0.5,"High Discount","Normal Discount")</calculatedColumnFormula>
    </tableColumn>
    <tableColumn id="27" xr3:uid="{AEAAB0BD-E3BF-4B74-9E4D-97D886EF6830}" name="Risk Flag" dataDxfId="8">
      <calculatedColumnFormula>IF(AND(U2&lt;0,T2&gt;0.3),"High Risk", "Normal")</calculatedColumnFormula>
    </tableColumn>
    <tableColumn id="28" xr3:uid="{A2379D12-D1DB-4CE8-AE83-F0B88F245D48}" name="Profit Category " dataDxfId="4">
      <calculatedColumnFormula>IF(U2&gt;100,"High Profit",IF(U2&gt;=0,"Low Profit", "Loss"))</calculatedColumnFormula>
    </tableColumn>
    <tableColumn id="29" xr3:uid="{09AF35AD-9F5F-4B66-B2EA-4F7EF19D22D5}" name="COUNTHigh Profit" dataDxfId="3">
      <calculatedColumnFormula>COUNTIF(Y2:Y37, "High Profit")</calculatedColumnFormula>
    </tableColumn>
    <tableColumn id="30" xr3:uid="{D235DF57-032F-4F33-B6DE-5D14769BD1ED}" name="Risk Alarm" dataDxfId="2">
      <calculatedColumnFormula>IF(U2 &lt; -200, "⚠️ بررسی فوری: ضرر سنگین", "")</calculatedColumnFormula>
    </tableColumn>
    <tableColumn id="31" xr3:uid="{A8B86393-B374-44AF-A51C-FC2BF0D417BC}" name="Discount Risk " dataDxfId="1">
      <calculatedColumnFormula>IF(T2&gt;=0.5,"High Risk",IF(T2&gt;=0.3, "Medium Risk", "Low Risk"))</calculatedColumnFormula>
    </tableColumn>
    <tableColumn id="32" xr3:uid="{77FF7E98-C61F-4D15-BA47-8C5B315CC962}" name="Order Risk" dataDxfId="0">
      <calculatedColumnFormula>IF(AND(U2&lt;0,T2&gt;0.3), "High Risk", "Normal")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7"/>
  <sheetViews>
    <sheetView topLeftCell="H1" workbookViewId="0">
      <selection activeCell="H1" sqref="A1:XFD1048576"/>
    </sheetView>
  </sheetViews>
  <sheetFormatPr defaultRowHeight="15" x14ac:dyDescent="0.25"/>
  <cols>
    <col min="1" max="1" width="11.5703125" style="4" bestFit="1" customWidth="1"/>
    <col min="2" max="2" width="15" style="4" bestFit="1" customWidth="1"/>
    <col min="3" max="3" width="16" style="4" bestFit="1" customWidth="1"/>
    <col min="4" max="4" width="14" style="4" bestFit="1" customWidth="1"/>
    <col min="5" max="5" width="15.28515625" style="4" bestFit="1" customWidth="1"/>
    <col min="6" max="6" width="17.5703125" style="4" bestFit="1" customWidth="1"/>
    <col min="7" max="7" width="21.5703125" style="4" bestFit="1" customWidth="1"/>
    <col min="8" max="8" width="13.140625" style="4" bestFit="1" customWidth="1"/>
    <col min="9" max="9" width="12.85546875" style="4" bestFit="1" customWidth="1"/>
    <col min="10" max="10" width="15" style="4" bestFit="1" customWidth="1"/>
    <col min="11" max="11" width="14" style="4" bestFit="1" customWidth="1"/>
    <col min="12" max="12" width="16.5703125" style="4" bestFit="1" customWidth="1"/>
    <col min="13" max="13" width="11" style="4" customWidth="1"/>
    <col min="14" max="14" width="16.5703125" style="4" bestFit="1" customWidth="1"/>
    <col min="15" max="15" width="14.5703125" style="4" bestFit="1" customWidth="1"/>
    <col min="16" max="16" width="18.5703125" style="4" bestFit="1" customWidth="1"/>
    <col min="17" max="17" width="72.28515625" style="4" bestFit="1" customWidth="1"/>
    <col min="18" max="18" width="9.140625" style="4"/>
    <col min="19" max="19" width="13.140625" style="4" customWidth="1"/>
    <col min="20" max="20" width="13.28515625" style="4" bestFit="1" customWidth="1"/>
    <col min="21" max="21" width="10.7109375" style="4" bestFit="1" customWidth="1"/>
    <col min="22" max="16384" width="9.140625" style="4"/>
  </cols>
  <sheetData>
    <row r="1" spans="1:21" s="1" customFormat="1" ht="18.75" x14ac:dyDescent="0.3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</row>
    <row r="2" spans="1:21" x14ac:dyDescent="0.25">
      <c r="A2" s="5">
        <v>1</v>
      </c>
      <c r="B2" s="2" t="s">
        <v>21</v>
      </c>
      <c r="C2" s="3">
        <v>43047</v>
      </c>
      <c r="D2" s="3">
        <v>43050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>
        <v>42420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</v>
      </c>
      <c r="R2" s="2">
        <v>261.95999999999998</v>
      </c>
      <c r="S2" s="2">
        <v>2</v>
      </c>
      <c r="T2" s="2">
        <v>0</v>
      </c>
      <c r="U2" s="6">
        <v>41.913600000000002</v>
      </c>
    </row>
    <row r="3" spans="1:21" x14ac:dyDescent="0.25">
      <c r="A3" s="5">
        <v>2</v>
      </c>
      <c r="B3" s="2" t="s">
        <v>21</v>
      </c>
      <c r="C3" s="3">
        <v>43047</v>
      </c>
      <c r="D3" s="3">
        <v>43050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>
        <v>42420</v>
      </c>
      <c r="M3" s="2" t="s">
        <v>29</v>
      </c>
      <c r="N3" s="2" t="s">
        <v>34</v>
      </c>
      <c r="O3" s="2" t="s">
        <v>31</v>
      </c>
      <c r="P3" s="2" t="s">
        <v>35</v>
      </c>
      <c r="Q3" s="2" t="s">
        <v>36</v>
      </c>
      <c r="R3" s="2">
        <v>731.93999999999994</v>
      </c>
      <c r="S3" s="2">
        <v>3</v>
      </c>
      <c r="T3" s="2">
        <v>0</v>
      </c>
      <c r="U3" s="6">
        <v>219.58199999999997</v>
      </c>
    </row>
    <row r="4" spans="1:21" x14ac:dyDescent="0.25">
      <c r="A4" s="5">
        <v>3</v>
      </c>
      <c r="B4" s="2" t="s">
        <v>37</v>
      </c>
      <c r="C4" s="3">
        <v>42898</v>
      </c>
      <c r="D4" s="3">
        <v>42902</v>
      </c>
      <c r="E4" s="2" t="s">
        <v>22</v>
      </c>
      <c r="F4" s="2" t="s">
        <v>38</v>
      </c>
      <c r="G4" s="2" t="s">
        <v>39</v>
      </c>
      <c r="H4" s="2" t="s">
        <v>40</v>
      </c>
      <c r="I4" s="2" t="s">
        <v>26</v>
      </c>
      <c r="J4" s="2" t="s">
        <v>41</v>
      </c>
      <c r="K4" s="2" t="s">
        <v>42</v>
      </c>
      <c r="L4" s="2">
        <v>90036</v>
      </c>
      <c r="M4" s="2" t="s">
        <v>43</v>
      </c>
      <c r="N4" s="2" t="s">
        <v>44</v>
      </c>
      <c r="O4" s="2" t="s">
        <v>45</v>
      </c>
      <c r="P4" s="2" t="s">
        <v>46</v>
      </c>
      <c r="Q4" s="2" t="s">
        <v>47</v>
      </c>
      <c r="R4" s="2">
        <v>14.62</v>
      </c>
      <c r="S4" s="2">
        <v>2</v>
      </c>
      <c r="T4" s="2">
        <v>0</v>
      </c>
      <c r="U4" s="6">
        <v>6.8713999999999995</v>
      </c>
    </row>
    <row r="5" spans="1:21" x14ac:dyDescent="0.25">
      <c r="A5" s="5">
        <v>4</v>
      </c>
      <c r="B5" s="2" t="s">
        <v>48</v>
      </c>
      <c r="C5" s="3">
        <v>42654</v>
      </c>
      <c r="D5" s="3">
        <v>42661</v>
      </c>
      <c r="E5" s="2" t="s">
        <v>49</v>
      </c>
      <c r="F5" s="2" t="s">
        <v>50</v>
      </c>
      <c r="G5" s="2" t="s">
        <v>51</v>
      </c>
      <c r="H5" s="2" t="s">
        <v>25</v>
      </c>
      <c r="I5" s="2" t="s">
        <v>26</v>
      </c>
      <c r="J5" s="2" t="s">
        <v>52</v>
      </c>
      <c r="K5" s="2" t="s">
        <v>53</v>
      </c>
      <c r="L5" s="2">
        <v>33311</v>
      </c>
      <c r="M5" s="2" t="s">
        <v>29</v>
      </c>
      <c r="N5" s="2" t="s">
        <v>54</v>
      </c>
      <c r="O5" s="2" t="s">
        <v>31</v>
      </c>
      <c r="P5" s="2" t="s">
        <v>55</v>
      </c>
      <c r="Q5" s="2" t="s">
        <v>56</v>
      </c>
      <c r="R5" s="2">
        <v>957.57749999999999</v>
      </c>
      <c r="S5" s="2">
        <v>5</v>
      </c>
      <c r="T5" s="2">
        <v>0.45</v>
      </c>
      <c r="U5" s="6">
        <v>-383.03100000000006</v>
      </c>
    </row>
    <row r="6" spans="1:21" x14ac:dyDescent="0.25">
      <c r="A6" s="5">
        <v>5</v>
      </c>
      <c r="B6" s="2" t="s">
        <v>48</v>
      </c>
      <c r="C6" s="3">
        <v>42654</v>
      </c>
      <c r="D6" s="3">
        <v>42661</v>
      </c>
      <c r="E6" s="2" t="s">
        <v>49</v>
      </c>
      <c r="F6" s="2" t="s">
        <v>50</v>
      </c>
      <c r="G6" s="2" t="s">
        <v>51</v>
      </c>
      <c r="H6" s="2" t="s">
        <v>25</v>
      </c>
      <c r="I6" s="2" t="s">
        <v>26</v>
      </c>
      <c r="J6" s="2" t="s">
        <v>52</v>
      </c>
      <c r="K6" s="2" t="s">
        <v>53</v>
      </c>
      <c r="L6" s="2">
        <v>33311</v>
      </c>
      <c r="M6" s="2" t="s">
        <v>29</v>
      </c>
      <c r="N6" s="2" t="s">
        <v>57</v>
      </c>
      <c r="O6" s="2" t="s">
        <v>45</v>
      </c>
      <c r="P6" s="2" t="s">
        <v>58</v>
      </c>
      <c r="Q6" s="2" t="s">
        <v>59</v>
      </c>
      <c r="R6" s="2">
        <v>22.368000000000002</v>
      </c>
      <c r="S6" s="2">
        <v>2</v>
      </c>
      <c r="T6" s="2">
        <v>0.2</v>
      </c>
      <c r="U6" s="6">
        <v>2.5163999999999991</v>
      </c>
    </row>
    <row r="7" spans="1:21" x14ac:dyDescent="0.25">
      <c r="A7" s="5">
        <v>6</v>
      </c>
      <c r="B7" s="2" t="s">
        <v>60</v>
      </c>
      <c r="C7" s="3">
        <v>42164</v>
      </c>
      <c r="D7" s="3">
        <v>42169</v>
      </c>
      <c r="E7" s="2" t="s">
        <v>49</v>
      </c>
      <c r="F7" s="2" t="s">
        <v>61</v>
      </c>
      <c r="G7" s="2" t="s">
        <v>62</v>
      </c>
      <c r="H7" s="2" t="s">
        <v>25</v>
      </c>
      <c r="I7" s="2" t="s">
        <v>26</v>
      </c>
      <c r="J7" s="2" t="s">
        <v>41</v>
      </c>
      <c r="K7" s="2" t="s">
        <v>42</v>
      </c>
      <c r="L7" s="2">
        <v>90032</v>
      </c>
      <c r="M7" s="2" t="s">
        <v>43</v>
      </c>
      <c r="N7" s="2" t="s">
        <v>63</v>
      </c>
      <c r="O7" s="2" t="s">
        <v>31</v>
      </c>
      <c r="P7" s="2" t="s">
        <v>64</v>
      </c>
      <c r="Q7" s="2" t="s">
        <v>65</v>
      </c>
      <c r="R7" s="2">
        <v>48.86</v>
      </c>
      <c r="S7" s="2">
        <v>7</v>
      </c>
      <c r="T7" s="2">
        <v>0</v>
      </c>
      <c r="U7" s="6">
        <v>14.169399999999996</v>
      </c>
    </row>
    <row r="8" spans="1:21" x14ac:dyDescent="0.25">
      <c r="A8" s="5">
        <v>7</v>
      </c>
      <c r="B8" s="2" t="s">
        <v>60</v>
      </c>
      <c r="C8" s="3">
        <v>42164</v>
      </c>
      <c r="D8" s="3">
        <v>42169</v>
      </c>
      <c r="E8" s="2" t="s">
        <v>49</v>
      </c>
      <c r="F8" s="2" t="s">
        <v>61</v>
      </c>
      <c r="G8" s="2" t="s">
        <v>62</v>
      </c>
      <c r="H8" s="2" t="s">
        <v>25</v>
      </c>
      <c r="I8" s="2" t="s">
        <v>26</v>
      </c>
      <c r="J8" s="2" t="s">
        <v>41</v>
      </c>
      <c r="K8" s="2" t="s">
        <v>42</v>
      </c>
      <c r="L8" s="2">
        <v>90032</v>
      </c>
      <c r="M8" s="2" t="s">
        <v>43</v>
      </c>
      <c r="N8" s="2" t="s">
        <v>66</v>
      </c>
      <c r="O8" s="2" t="s">
        <v>45</v>
      </c>
      <c r="P8" s="2" t="s">
        <v>67</v>
      </c>
      <c r="Q8" s="2" t="s">
        <v>68</v>
      </c>
      <c r="R8" s="2">
        <v>7.28</v>
      </c>
      <c r="S8" s="2">
        <v>4</v>
      </c>
      <c r="T8" s="2">
        <v>0</v>
      </c>
      <c r="U8" s="6">
        <v>1.9656000000000002</v>
      </c>
    </row>
    <row r="9" spans="1:21" x14ac:dyDescent="0.25">
      <c r="A9" s="5">
        <v>8</v>
      </c>
      <c r="B9" s="2" t="s">
        <v>60</v>
      </c>
      <c r="C9" s="3">
        <v>42164</v>
      </c>
      <c r="D9" s="3">
        <v>42169</v>
      </c>
      <c r="E9" s="2" t="s">
        <v>49</v>
      </c>
      <c r="F9" s="2" t="s">
        <v>61</v>
      </c>
      <c r="G9" s="2" t="s">
        <v>62</v>
      </c>
      <c r="H9" s="2" t="s">
        <v>25</v>
      </c>
      <c r="I9" s="2" t="s">
        <v>26</v>
      </c>
      <c r="J9" s="2" t="s">
        <v>41</v>
      </c>
      <c r="K9" s="2" t="s">
        <v>42</v>
      </c>
      <c r="L9" s="2">
        <v>90032</v>
      </c>
      <c r="M9" s="2" t="s">
        <v>43</v>
      </c>
      <c r="N9" s="2" t="s">
        <v>69</v>
      </c>
      <c r="O9" s="2" t="s">
        <v>70</v>
      </c>
      <c r="P9" s="2" t="s">
        <v>71</v>
      </c>
      <c r="Q9" s="2" t="s">
        <v>72</v>
      </c>
      <c r="R9" s="2">
        <v>907.15200000000004</v>
      </c>
      <c r="S9" s="2">
        <v>6</v>
      </c>
      <c r="T9" s="2">
        <v>0.2</v>
      </c>
      <c r="U9" s="6">
        <v>90.715200000000038</v>
      </c>
    </row>
    <row r="10" spans="1:21" x14ac:dyDescent="0.25">
      <c r="A10" s="5">
        <v>9</v>
      </c>
      <c r="B10" s="2" t="s">
        <v>60</v>
      </c>
      <c r="C10" s="3">
        <v>42164</v>
      </c>
      <c r="D10" s="3">
        <v>42169</v>
      </c>
      <c r="E10" s="2" t="s">
        <v>49</v>
      </c>
      <c r="F10" s="2" t="s">
        <v>61</v>
      </c>
      <c r="G10" s="2" t="s">
        <v>62</v>
      </c>
      <c r="H10" s="2" t="s">
        <v>25</v>
      </c>
      <c r="I10" s="2" t="s">
        <v>26</v>
      </c>
      <c r="J10" s="2" t="s">
        <v>41</v>
      </c>
      <c r="K10" s="2" t="s">
        <v>42</v>
      </c>
      <c r="L10" s="2">
        <v>90032</v>
      </c>
      <c r="M10" s="2" t="s">
        <v>43</v>
      </c>
      <c r="N10" s="2" t="s">
        <v>73</v>
      </c>
      <c r="O10" s="2" t="s">
        <v>45</v>
      </c>
      <c r="P10" s="2" t="s">
        <v>74</v>
      </c>
      <c r="Q10" s="2" t="s">
        <v>75</v>
      </c>
      <c r="R10" s="2">
        <v>18.504000000000001</v>
      </c>
      <c r="S10" s="2">
        <v>3</v>
      </c>
      <c r="T10" s="2">
        <v>0.2</v>
      </c>
      <c r="U10" s="6">
        <v>5.7824999999999998</v>
      </c>
    </row>
    <row r="11" spans="1:21" x14ac:dyDescent="0.25">
      <c r="A11" s="5">
        <v>10</v>
      </c>
      <c r="B11" s="2" t="s">
        <v>60</v>
      </c>
      <c r="C11" s="3">
        <v>42164</v>
      </c>
      <c r="D11" s="3">
        <v>42169</v>
      </c>
      <c r="E11" s="2" t="s">
        <v>49</v>
      </c>
      <c r="F11" s="2" t="s">
        <v>61</v>
      </c>
      <c r="G11" s="2" t="s">
        <v>62</v>
      </c>
      <c r="H11" s="2" t="s">
        <v>25</v>
      </c>
      <c r="I11" s="2" t="s">
        <v>26</v>
      </c>
      <c r="J11" s="2" t="s">
        <v>41</v>
      </c>
      <c r="K11" s="2" t="s">
        <v>42</v>
      </c>
      <c r="L11" s="2">
        <v>90032</v>
      </c>
      <c r="M11" s="2" t="s">
        <v>43</v>
      </c>
      <c r="N11" s="2" t="s">
        <v>76</v>
      </c>
      <c r="O11" s="2" t="s">
        <v>45</v>
      </c>
      <c r="P11" s="2" t="s">
        <v>77</v>
      </c>
      <c r="Q11" s="2" t="s">
        <v>78</v>
      </c>
      <c r="R11" s="2">
        <v>114.9</v>
      </c>
      <c r="S11" s="2">
        <v>5</v>
      </c>
      <c r="T11" s="2">
        <v>0</v>
      </c>
      <c r="U11" s="6">
        <v>34.469999999999992</v>
      </c>
    </row>
    <row r="12" spans="1:21" x14ac:dyDescent="0.25">
      <c r="A12" s="5">
        <v>11</v>
      </c>
      <c r="B12" s="2" t="s">
        <v>60</v>
      </c>
      <c r="C12" s="3">
        <v>42164</v>
      </c>
      <c r="D12" s="3">
        <v>42169</v>
      </c>
      <c r="E12" s="2" t="s">
        <v>49</v>
      </c>
      <c r="F12" s="2" t="s">
        <v>61</v>
      </c>
      <c r="G12" s="2" t="s">
        <v>62</v>
      </c>
      <c r="H12" s="2" t="s">
        <v>25</v>
      </c>
      <c r="I12" s="2" t="s">
        <v>26</v>
      </c>
      <c r="J12" s="2" t="s">
        <v>41</v>
      </c>
      <c r="K12" s="2" t="s">
        <v>42</v>
      </c>
      <c r="L12" s="2">
        <v>90032</v>
      </c>
      <c r="M12" s="2" t="s">
        <v>43</v>
      </c>
      <c r="N12" s="2" t="s">
        <v>79</v>
      </c>
      <c r="O12" s="2" t="s">
        <v>31</v>
      </c>
      <c r="P12" s="2" t="s">
        <v>55</v>
      </c>
      <c r="Q12" s="2" t="s">
        <v>80</v>
      </c>
      <c r="R12" s="2">
        <v>1706.1840000000002</v>
      </c>
      <c r="S12" s="2">
        <v>9</v>
      </c>
      <c r="T12" s="2">
        <v>0.2</v>
      </c>
      <c r="U12" s="6">
        <v>85.309199999999805</v>
      </c>
    </row>
    <row r="13" spans="1:21" x14ac:dyDescent="0.25">
      <c r="A13" s="5">
        <v>12</v>
      </c>
      <c r="B13" s="2" t="s">
        <v>60</v>
      </c>
      <c r="C13" s="3">
        <v>42164</v>
      </c>
      <c r="D13" s="3">
        <v>42169</v>
      </c>
      <c r="E13" s="2" t="s">
        <v>49</v>
      </c>
      <c r="F13" s="2" t="s">
        <v>61</v>
      </c>
      <c r="G13" s="2" t="s">
        <v>62</v>
      </c>
      <c r="H13" s="2" t="s">
        <v>25</v>
      </c>
      <c r="I13" s="2" t="s">
        <v>26</v>
      </c>
      <c r="J13" s="2" t="s">
        <v>41</v>
      </c>
      <c r="K13" s="2" t="s">
        <v>42</v>
      </c>
      <c r="L13" s="2">
        <v>90032</v>
      </c>
      <c r="M13" s="2" t="s">
        <v>43</v>
      </c>
      <c r="N13" s="2" t="s">
        <v>81</v>
      </c>
      <c r="O13" s="2" t="s">
        <v>70</v>
      </c>
      <c r="P13" s="2" t="s">
        <v>71</v>
      </c>
      <c r="Q13" s="2" t="s">
        <v>82</v>
      </c>
      <c r="R13" s="2">
        <v>911.42399999999998</v>
      </c>
      <c r="S13" s="2">
        <v>4</v>
      </c>
      <c r="T13" s="2">
        <v>0.2</v>
      </c>
      <c r="U13" s="6">
        <v>68.356800000000021</v>
      </c>
    </row>
    <row r="14" spans="1:21" x14ac:dyDescent="0.25">
      <c r="A14" s="5">
        <v>13</v>
      </c>
      <c r="B14" s="2" t="s">
        <v>83</v>
      </c>
      <c r="C14" s="3">
        <v>43205</v>
      </c>
      <c r="D14" s="3">
        <v>43210</v>
      </c>
      <c r="E14" s="2" t="s">
        <v>49</v>
      </c>
      <c r="F14" s="2" t="s">
        <v>84</v>
      </c>
      <c r="G14" s="2" t="s">
        <v>85</v>
      </c>
      <c r="H14" s="2" t="s">
        <v>25</v>
      </c>
      <c r="I14" s="2" t="s">
        <v>26</v>
      </c>
      <c r="J14" s="2" t="s">
        <v>86</v>
      </c>
      <c r="K14" s="2" t="s">
        <v>87</v>
      </c>
      <c r="L14" s="2">
        <v>28027</v>
      </c>
      <c r="M14" s="2" t="s">
        <v>29</v>
      </c>
      <c r="N14" s="2" t="s">
        <v>88</v>
      </c>
      <c r="O14" s="2" t="s">
        <v>45</v>
      </c>
      <c r="P14" s="2" t="s">
        <v>89</v>
      </c>
      <c r="Q14" s="2" t="s">
        <v>90</v>
      </c>
      <c r="R14" s="2">
        <v>15.552000000000003</v>
      </c>
      <c r="S14" s="2">
        <v>3</v>
      </c>
      <c r="T14" s="2">
        <v>0.2</v>
      </c>
      <c r="U14" s="6">
        <v>5.4432</v>
      </c>
    </row>
    <row r="15" spans="1:21" x14ac:dyDescent="0.25">
      <c r="A15" s="5">
        <v>14</v>
      </c>
      <c r="B15" s="2" t="s">
        <v>91</v>
      </c>
      <c r="C15" s="3">
        <v>43074</v>
      </c>
      <c r="D15" s="3">
        <v>43079</v>
      </c>
      <c r="E15" s="2" t="s">
        <v>49</v>
      </c>
      <c r="F15" s="2" t="s">
        <v>92</v>
      </c>
      <c r="G15" s="2" t="s">
        <v>93</v>
      </c>
      <c r="H15" s="2" t="s">
        <v>25</v>
      </c>
      <c r="I15" s="2" t="s">
        <v>26</v>
      </c>
      <c r="J15" s="2" t="s">
        <v>94</v>
      </c>
      <c r="K15" s="2" t="s">
        <v>95</v>
      </c>
      <c r="L15" s="2">
        <v>98103</v>
      </c>
      <c r="M15" s="2" t="s">
        <v>43</v>
      </c>
      <c r="N15" s="2" t="s">
        <v>96</v>
      </c>
      <c r="O15" s="2" t="s">
        <v>45</v>
      </c>
      <c r="P15" s="2" t="s">
        <v>74</v>
      </c>
      <c r="Q15" s="2" t="s">
        <v>97</v>
      </c>
      <c r="R15" s="2">
        <v>407.97600000000006</v>
      </c>
      <c r="S15" s="2">
        <v>3</v>
      </c>
      <c r="T15" s="2">
        <v>0.2</v>
      </c>
      <c r="U15" s="6">
        <v>132.59219999999993</v>
      </c>
    </row>
    <row r="16" spans="1:21" x14ac:dyDescent="0.25">
      <c r="A16" s="5">
        <v>15</v>
      </c>
      <c r="B16" s="2" t="s">
        <v>98</v>
      </c>
      <c r="C16" s="3">
        <v>42696</v>
      </c>
      <c r="D16" s="3">
        <v>42700</v>
      </c>
      <c r="E16" s="2" t="s">
        <v>49</v>
      </c>
      <c r="F16" s="2" t="s">
        <v>99</v>
      </c>
      <c r="G16" s="2" t="s">
        <v>100</v>
      </c>
      <c r="H16" s="2" t="s">
        <v>101</v>
      </c>
      <c r="I16" s="2" t="s">
        <v>26</v>
      </c>
      <c r="J16" s="2" t="s">
        <v>102</v>
      </c>
      <c r="K16" s="2" t="s">
        <v>103</v>
      </c>
      <c r="L16" s="2">
        <v>76106</v>
      </c>
      <c r="M16" s="2" t="s">
        <v>104</v>
      </c>
      <c r="N16" s="2" t="s">
        <v>105</v>
      </c>
      <c r="O16" s="2" t="s">
        <v>45</v>
      </c>
      <c r="P16" s="2" t="s">
        <v>77</v>
      </c>
      <c r="Q16" s="2" t="s">
        <v>106</v>
      </c>
      <c r="R16" s="2">
        <v>68.809999999999988</v>
      </c>
      <c r="S16" s="2">
        <v>5</v>
      </c>
      <c r="T16" s="2">
        <v>0.8</v>
      </c>
      <c r="U16" s="6">
        <v>-123.858</v>
      </c>
    </row>
    <row r="17" spans="1:21" x14ac:dyDescent="0.25">
      <c r="A17" s="5">
        <v>16</v>
      </c>
      <c r="B17" s="2" t="s">
        <v>98</v>
      </c>
      <c r="C17" s="3">
        <v>42696</v>
      </c>
      <c r="D17" s="3">
        <v>42700</v>
      </c>
      <c r="E17" s="2" t="s">
        <v>49</v>
      </c>
      <c r="F17" s="2" t="s">
        <v>99</v>
      </c>
      <c r="G17" s="2" t="s">
        <v>100</v>
      </c>
      <c r="H17" s="2" t="s">
        <v>101</v>
      </c>
      <c r="I17" s="2" t="s">
        <v>26</v>
      </c>
      <c r="J17" s="2" t="s">
        <v>102</v>
      </c>
      <c r="K17" s="2" t="s">
        <v>103</v>
      </c>
      <c r="L17" s="2">
        <v>76106</v>
      </c>
      <c r="M17" s="2" t="s">
        <v>104</v>
      </c>
      <c r="N17" s="2" t="s">
        <v>107</v>
      </c>
      <c r="O17" s="2" t="s">
        <v>45</v>
      </c>
      <c r="P17" s="2" t="s">
        <v>74</v>
      </c>
      <c r="Q17" s="2" t="s">
        <v>108</v>
      </c>
      <c r="R17" s="2">
        <v>2.5439999999999996</v>
      </c>
      <c r="S17" s="2">
        <v>3</v>
      </c>
      <c r="T17" s="2">
        <v>0.8</v>
      </c>
      <c r="U17" s="6">
        <v>-3.8160000000000016</v>
      </c>
    </row>
    <row r="18" spans="1:21" x14ac:dyDescent="0.25">
      <c r="A18" s="5">
        <v>17</v>
      </c>
      <c r="B18" s="2" t="s">
        <v>109</v>
      </c>
      <c r="C18" s="3">
        <v>42319</v>
      </c>
      <c r="D18" s="3">
        <v>42326</v>
      </c>
      <c r="E18" s="2" t="s">
        <v>49</v>
      </c>
      <c r="F18" s="2" t="s">
        <v>110</v>
      </c>
      <c r="G18" s="2" t="s">
        <v>111</v>
      </c>
      <c r="H18" s="2" t="s">
        <v>25</v>
      </c>
      <c r="I18" s="2" t="s">
        <v>26</v>
      </c>
      <c r="J18" s="2" t="s">
        <v>112</v>
      </c>
      <c r="K18" s="2" t="s">
        <v>113</v>
      </c>
      <c r="L18" s="2">
        <v>53711</v>
      </c>
      <c r="M18" s="2" t="s">
        <v>104</v>
      </c>
      <c r="N18" s="2" t="s">
        <v>114</v>
      </c>
      <c r="O18" s="2" t="s">
        <v>45</v>
      </c>
      <c r="P18" s="2" t="s">
        <v>58</v>
      </c>
      <c r="Q18" s="2" t="s">
        <v>115</v>
      </c>
      <c r="R18" s="2">
        <v>665.88</v>
      </c>
      <c r="S18" s="2">
        <v>6</v>
      </c>
      <c r="T18" s="2">
        <v>0</v>
      </c>
      <c r="U18" s="6">
        <v>13.317599999999999</v>
      </c>
    </row>
    <row r="19" spans="1:21" x14ac:dyDescent="0.25">
      <c r="A19" s="5">
        <v>18</v>
      </c>
      <c r="B19" s="2" t="s">
        <v>116</v>
      </c>
      <c r="C19" s="3">
        <v>42137</v>
      </c>
      <c r="D19" s="3">
        <v>42139</v>
      </c>
      <c r="E19" s="2" t="s">
        <v>22</v>
      </c>
      <c r="F19" s="2" t="s">
        <v>117</v>
      </c>
      <c r="G19" s="2" t="s">
        <v>118</v>
      </c>
      <c r="H19" s="2" t="s">
        <v>25</v>
      </c>
      <c r="I19" s="2" t="s">
        <v>26</v>
      </c>
      <c r="J19" s="2" t="s">
        <v>119</v>
      </c>
      <c r="K19" s="2" t="s">
        <v>120</v>
      </c>
      <c r="L19" s="2">
        <v>84084</v>
      </c>
      <c r="M19" s="2" t="s">
        <v>43</v>
      </c>
      <c r="N19" s="2" t="s">
        <v>121</v>
      </c>
      <c r="O19" s="2" t="s">
        <v>45</v>
      </c>
      <c r="P19" s="2" t="s">
        <v>58</v>
      </c>
      <c r="Q19" s="2" t="s">
        <v>122</v>
      </c>
      <c r="R19" s="2">
        <v>55.5</v>
      </c>
      <c r="S19" s="2">
        <v>2</v>
      </c>
      <c r="T19" s="2">
        <v>0</v>
      </c>
      <c r="U19" s="6">
        <v>9.9899999999999949</v>
      </c>
    </row>
    <row r="20" spans="1:21" x14ac:dyDescent="0.25">
      <c r="A20" s="5">
        <v>19</v>
      </c>
      <c r="B20" s="2" t="s">
        <v>123</v>
      </c>
      <c r="C20" s="3">
        <v>42243</v>
      </c>
      <c r="D20" s="3">
        <v>42248</v>
      </c>
      <c r="E20" s="2" t="s">
        <v>22</v>
      </c>
      <c r="F20" s="2" t="s">
        <v>124</v>
      </c>
      <c r="G20" s="2" t="s">
        <v>125</v>
      </c>
      <c r="H20" s="2" t="s">
        <v>25</v>
      </c>
      <c r="I20" s="2" t="s">
        <v>26</v>
      </c>
      <c r="J20" s="2" t="s">
        <v>126</v>
      </c>
      <c r="K20" s="2" t="s">
        <v>42</v>
      </c>
      <c r="L20" s="2">
        <v>94109</v>
      </c>
      <c r="M20" s="2" t="s">
        <v>43</v>
      </c>
      <c r="N20" s="2" t="s">
        <v>127</v>
      </c>
      <c r="O20" s="2" t="s">
        <v>45</v>
      </c>
      <c r="P20" s="2" t="s">
        <v>67</v>
      </c>
      <c r="Q20" s="2" t="s">
        <v>128</v>
      </c>
      <c r="R20" s="2">
        <v>8.56</v>
      </c>
      <c r="S20" s="2">
        <v>2</v>
      </c>
      <c r="T20" s="2">
        <v>0</v>
      </c>
      <c r="U20" s="6">
        <v>2.4823999999999993</v>
      </c>
    </row>
    <row r="21" spans="1:21" x14ac:dyDescent="0.25">
      <c r="A21" s="5">
        <v>20</v>
      </c>
      <c r="B21" s="2" t="s">
        <v>123</v>
      </c>
      <c r="C21" s="3">
        <v>42243</v>
      </c>
      <c r="D21" s="3">
        <v>42248</v>
      </c>
      <c r="E21" s="2" t="s">
        <v>22</v>
      </c>
      <c r="F21" s="2" t="s">
        <v>124</v>
      </c>
      <c r="G21" s="2" t="s">
        <v>125</v>
      </c>
      <c r="H21" s="2" t="s">
        <v>25</v>
      </c>
      <c r="I21" s="2" t="s">
        <v>26</v>
      </c>
      <c r="J21" s="2" t="s">
        <v>126</v>
      </c>
      <c r="K21" s="2" t="s">
        <v>42</v>
      </c>
      <c r="L21" s="2">
        <v>94109</v>
      </c>
      <c r="M21" s="2" t="s">
        <v>43</v>
      </c>
      <c r="N21" s="2" t="s">
        <v>129</v>
      </c>
      <c r="O21" s="2" t="s">
        <v>70</v>
      </c>
      <c r="P21" s="2" t="s">
        <v>71</v>
      </c>
      <c r="Q21" s="2" t="s">
        <v>130</v>
      </c>
      <c r="R21" s="2">
        <v>213.48000000000002</v>
      </c>
      <c r="S21" s="2">
        <v>3</v>
      </c>
      <c r="T21" s="2">
        <v>0.2</v>
      </c>
      <c r="U21" s="6">
        <v>16.010999999999981</v>
      </c>
    </row>
    <row r="22" spans="1:21" x14ac:dyDescent="0.25">
      <c r="A22" s="5">
        <v>21</v>
      </c>
      <c r="B22" s="2" t="s">
        <v>123</v>
      </c>
      <c r="C22" s="3">
        <v>42243</v>
      </c>
      <c r="D22" s="3">
        <v>42248</v>
      </c>
      <c r="E22" s="2" t="s">
        <v>22</v>
      </c>
      <c r="F22" s="2" t="s">
        <v>124</v>
      </c>
      <c r="G22" s="2" t="s">
        <v>125</v>
      </c>
      <c r="H22" s="2" t="s">
        <v>25</v>
      </c>
      <c r="I22" s="2" t="s">
        <v>26</v>
      </c>
      <c r="J22" s="2" t="s">
        <v>126</v>
      </c>
      <c r="K22" s="2" t="s">
        <v>42</v>
      </c>
      <c r="L22" s="2">
        <v>94109</v>
      </c>
      <c r="M22" s="2" t="s">
        <v>43</v>
      </c>
      <c r="N22" s="2" t="s">
        <v>131</v>
      </c>
      <c r="O22" s="2" t="s">
        <v>45</v>
      </c>
      <c r="P22" s="2" t="s">
        <v>74</v>
      </c>
      <c r="Q22" s="2" t="s">
        <v>132</v>
      </c>
      <c r="R22" s="2">
        <v>22.72</v>
      </c>
      <c r="S22" s="2">
        <v>4</v>
      </c>
      <c r="T22" s="2">
        <v>0.2</v>
      </c>
      <c r="U22" s="6">
        <v>7.3839999999999986</v>
      </c>
    </row>
    <row r="23" spans="1:21" x14ac:dyDescent="0.25">
      <c r="A23" s="5">
        <v>22</v>
      </c>
      <c r="B23" s="2" t="s">
        <v>133</v>
      </c>
      <c r="C23" s="3">
        <v>43078</v>
      </c>
      <c r="D23" s="3">
        <v>43082</v>
      </c>
      <c r="E23" s="2" t="s">
        <v>49</v>
      </c>
      <c r="F23" s="2" t="s">
        <v>134</v>
      </c>
      <c r="G23" s="2" t="s">
        <v>135</v>
      </c>
      <c r="H23" s="2" t="s">
        <v>40</v>
      </c>
      <c r="I23" s="2" t="s">
        <v>26</v>
      </c>
      <c r="J23" s="2" t="s">
        <v>136</v>
      </c>
      <c r="K23" s="2" t="s">
        <v>137</v>
      </c>
      <c r="L23" s="2">
        <v>68025</v>
      </c>
      <c r="M23" s="2" t="s">
        <v>104</v>
      </c>
      <c r="N23" s="2" t="s">
        <v>138</v>
      </c>
      <c r="O23" s="2" t="s">
        <v>45</v>
      </c>
      <c r="P23" s="2" t="s">
        <v>67</v>
      </c>
      <c r="Q23" s="2" t="s">
        <v>139</v>
      </c>
      <c r="R23" s="2">
        <v>19.459999999999997</v>
      </c>
      <c r="S23" s="2">
        <v>7</v>
      </c>
      <c r="T23" s="2">
        <v>0</v>
      </c>
      <c r="U23" s="6">
        <v>5.0595999999999997</v>
      </c>
    </row>
    <row r="24" spans="1:21" x14ac:dyDescent="0.25">
      <c r="A24" s="5">
        <v>23</v>
      </c>
      <c r="B24" s="2" t="s">
        <v>133</v>
      </c>
      <c r="C24" s="3">
        <v>43078</v>
      </c>
      <c r="D24" s="3">
        <v>43082</v>
      </c>
      <c r="E24" s="2" t="s">
        <v>49</v>
      </c>
      <c r="F24" s="2" t="s">
        <v>134</v>
      </c>
      <c r="G24" s="2" t="s">
        <v>135</v>
      </c>
      <c r="H24" s="2" t="s">
        <v>40</v>
      </c>
      <c r="I24" s="2" t="s">
        <v>26</v>
      </c>
      <c r="J24" s="2" t="s">
        <v>136</v>
      </c>
      <c r="K24" s="2" t="s">
        <v>137</v>
      </c>
      <c r="L24" s="2">
        <v>68025</v>
      </c>
      <c r="M24" s="2" t="s">
        <v>104</v>
      </c>
      <c r="N24" s="2" t="s">
        <v>140</v>
      </c>
      <c r="O24" s="2" t="s">
        <v>45</v>
      </c>
      <c r="P24" s="2" t="s">
        <v>77</v>
      </c>
      <c r="Q24" s="2" t="s">
        <v>141</v>
      </c>
      <c r="R24" s="2">
        <v>60.339999999999996</v>
      </c>
      <c r="S24" s="2">
        <v>7</v>
      </c>
      <c r="T24" s="2">
        <v>0</v>
      </c>
      <c r="U24" s="6">
        <v>15.688400000000001</v>
      </c>
    </row>
    <row r="25" spans="1:21" x14ac:dyDescent="0.25">
      <c r="A25" s="5">
        <v>24</v>
      </c>
      <c r="B25" s="2" t="s">
        <v>142</v>
      </c>
      <c r="C25" s="3">
        <v>43297</v>
      </c>
      <c r="D25" s="3">
        <v>43299</v>
      </c>
      <c r="E25" s="2" t="s">
        <v>22</v>
      </c>
      <c r="F25" s="2" t="s">
        <v>143</v>
      </c>
      <c r="G25" s="2" t="s">
        <v>144</v>
      </c>
      <c r="H25" s="2" t="s">
        <v>25</v>
      </c>
      <c r="I25" s="2" t="s">
        <v>26</v>
      </c>
      <c r="J25" s="2" t="s">
        <v>145</v>
      </c>
      <c r="K25" s="2" t="s">
        <v>146</v>
      </c>
      <c r="L25" s="2">
        <v>19140</v>
      </c>
      <c r="M25" s="2" t="s">
        <v>147</v>
      </c>
      <c r="N25" s="2" t="s">
        <v>148</v>
      </c>
      <c r="O25" s="2" t="s">
        <v>31</v>
      </c>
      <c r="P25" s="2" t="s">
        <v>35</v>
      </c>
      <c r="Q25" s="2" t="s">
        <v>149</v>
      </c>
      <c r="R25" s="2">
        <v>71.371999999999986</v>
      </c>
      <c r="S25" s="2">
        <v>2</v>
      </c>
      <c r="T25" s="2">
        <v>0.3</v>
      </c>
      <c r="U25" s="6">
        <v>-1.0196000000000005</v>
      </c>
    </row>
    <row r="26" spans="1:21" x14ac:dyDescent="0.25">
      <c r="A26" s="5">
        <v>25</v>
      </c>
      <c r="B26" s="2" t="s">
        <v>150</v>
      </c>
      <c r="C26" s="3">
        <v>42638</v>
      </c>
      <c r="D26" s="3">
        <v>42643</v>
      </c>
      <c r="E26" s="2" t="s">
        <v>49</v>
      </c>
      <c r="F26" s="2" t="s">
        <v>151</v>
      </c>
      <c r="G26" s="2" t="s">
        <v>152</v>
      </c>
      <c r="H26" s="2" t="s">
        <v>25</v>
      </c>
      <c r="I26" s="2" t="s">
        <v>26</v>
      </c>
      <c r="J26" s="2" t="s">
        <v>153</v>
      </c>
      <c r="K26" s="2" t="s">
        <v>120</v>
      </c>
      <c r="L26" s="2">
        <v>84057</v>
      </c>
      <c r="M26" s="2" t="s">
        <v>43</v>
      </c>
      <c r="N26" s="2" t="s">
        <v>54</v>
      </c>
      <c r="O26" s="2" t="s">
        <v>31</v>
      </c>
      <c r="P26" s="2" t="s">
        <v>55</v>
      </c>
      <c r="Q26" s="2" t="s">
        <v>56</v>
      </c>
      <c r="R26" s="2">
        <v>1044.6299999999999</v>
      </c>
      <c r="S26" s="2">
        <v>3</v>
      </c>
      <c r="T26" s="2">
        <v>0</v>
      </c>
      <c r="U26" s="6">
        <v>240.26490000000001</v>
      </c>
    </row>
    <row r="27" spans="1:21" x14ac:dyDescent="0.25">
      <c r="A27" s="5">
        <v>26</v>
      </c>
      <c r="B27" s="2" t="s">
        <v>154</v>
      </c>
      <c r="C27" s="3">
        <v>42751</v>
      </c>
      <c r="D27" s="3">
        <v>42755</v>
      </c>
      <c r="E27" s="2" t="s">
        <v>22</v>
      </c>
      <c r="F27" s="2" t="s">
        <v>155</v>
      </c>
      <c r="G27" s="2" t="s">
        <v>156</v>
      </c>
      <c r="H27" s="2" t="s">
        <v>25</v>
      </c>
      <c r="I27" s="2" t="s">
        <v>26</v>
      </c>
      <c r="J27" s="2" t="s">
        <v>41</v>
      </c>
      <c r="K27" s="2" t="s">
        <v>42</v>
      </c>
      <c r="L27" s="2">
        <v>90049</v>
      </c>
      <c r="M27" s="2" t="s">
        <v>43</v>
      </c>
      <c r="N27" s="2" t="s">
        <v>157</v>
      </c>
      <c r="O27" s="2" t="s">
        <v>45</v>
      </c>
      <c r="P27" s="2" t="s">
        <v>74</v>
      </c>
      <c r="Q27" s="2" t="s">
        <v>158</v>
      </c>
      <c r="R27" s="2">
        <v>11.648000000000001</v>
      </c>
      <c r="S27" s="2">
        <v>2</v>
      </c>
      <c r="T27" s="2">
        <v>0.2</v>
      </c>
      <c r="U27" s="6">
        <v>4.2224000000000004</v>
      </c>
    </row>
    <row r="28" spans="1:21" x14ac:dyDescent="0.25">
      <c r="A28" s="5">
        <v>27</v>
      </c>
      <c r="B28" s="2" t="s">
        <v>154</v>
      </c>
      <c r="C28" s="3">
        <v>42751</v>
      </c>
      <c r="D28" s="3">
        <v>42755</v>
      </c>
      <c r="E28" s="2" t="s">
        <v>22</v>
      </c>
      <c r="F28" s="2" t="s">
        <v>155</v>
      </c>
      <c r="G28" s="2" t="s">
        <v>156</v>
      </c>
      <c r="H28" s="2" t="s">
        <v>25</v>
      </c>
      <c r="I28" s="2" t="s">
        <v>26</v>
      </c>
      <c r="J28" s="2" t="s">
        <v>41</v>
      </c>
      <c r="K28" s="2" t="s">
        <v>42</v>
      </c>
      <c r="L28" s="2">
        <v>90049</v>
      </c>
      <c r="M28" s="2" t="s">
        <v>43</v>
      </c>
      <c r="N28" s="2" t="s">
        <v>159</v>
      </c>
      <c r="O28" s="2" t="s">
        <v>70</v>
      </c>
      <c r="P28" s="2" t="s">
        <v>160</v>
      </c>
      <c r="Q28" s="2" t="s">
        <v>161</v>
      </c>
      <c r="R28" s="2">
        <v>90.570000000000007</v>
      </c>
      <c r="S28" s="2">
        <v>3</v>
      </c>
      <c r="T28" s="2">
        <v>0</v>
      </c>
      <c r="U28" s="6">
        <v>11.774100000000004</v>
      </c>
    </row>
    <row r="29" spans="1:21" x14ac:dyDescent="0.25">
      <c r="A29" s="5">
        <v>28</v>
      </c>
      <c r="B29" s="2" t="s">
        <v>162</v>
      </c>
      <c r="C29" s="3">
        <v>42630</v>
      </c>
      <c r="D29" s="3">
        <v>42634</v>
      </c>
      <c r="E29" s="2" t="s">
        <v>49</v>
      </c>
      <c r="F29" s="2" t="s">
        <v>163</v>
      </c>
      <c r="G29" s="2" t="s">
        <v>164</v>
      </c>
      <c r="H29" s="2" t="s">
        <v>25</v>
      </c>
      <c r="I29" s="2" t="s">
        <v>26</v>
      </c>
      <c r="J29" s="2" t="s">
        <v>145</v>
      </c>
      <c r="K29" s="2" t="s">
        <v>146</v>
      </c>
      <c r="L29" s="2">
        <v>19140</v>
      </c>
      <c r="M29" s="2" t="s">
        <v>147</v>
      </c>
      <c r="N29" s="2" t="s">
        <v>165</v>
      </c>
      <c r="O29" s="2" t="s">
        <v>31</v>
      </c>
      <c r="P29" s="2" t="s">
        <v>32</v>
      </c>
      <c r="Q29" s="2" t="s">
        <v>166</v>
      </c>
      <c r="R29" s="2">
        <v>3083.4300000000003</v>
      </c>
      <c r="S29" s="2">
        <v>7</v>
      </c>
      <c r="T29" s="2">
        <v>0.5</v>
      </c>
      <c r="U29" s="6">
        <v>-1665.0522000000001</v>
      </c>
    </row>
    <row r="30" spans="1:21" x14ac:dyDescent="0.25">
      <c r="A30" s="5">
        <v>29</v>
      </c>
      <c r="B30" s="2" t="s">
        <v>162</v>
      </c>
      <c r="C30" s="3">
        <v>42630</v>
      </c>
      <c r="D30" s="3">
        <v>42634</v>
      </c>
      <c r="E30" s="2" t="s">
        <v>49</v>
      </c>
      <c r="F30" s="2" t="s">
        <v>163</v>
      </c>
      <c r="G30" s="2" t="s">
        <v>164</v>
      </c>
      <c r="H30" s="2" t="s">
        <v>25</v>
      </c>
      <c r="I30" s="2" t="s">
        <v>26</v>
      </c>
      <c r="J30" s="2" t="s">
        <v>145</v>
      </c>
      <c r="K30" s="2" t="s">
        <v>146</v>
      </c>
      <c r="L30" s="2">
        <v>19140</v>
      </c>
      <c r="M30" s="2" t="s">
        <v>147</v>
      </c>
      <c r="N30" s="2" t="s">
        <v>167</v>
      </c>
      <c r="O30" s="2" t="s">
        <v>45</v>
      </c>
      <c r="P30" s="2" t="s">
        <v>74</v>
      </c>
      <c r="Q30" s="2" t="s">
        <v>168</v>
      </c>
      <c r="R30" s="2">
        <v>9.6180000000000021</v>
      </c>
      <c r="S30" s="2">
        <v>2</v>
      </c>
      <c r="T30" s="2">
        <v>0.7</v>
      </c>
      <c r="U30" s="6">
        <v>-7.0532000000000004</v>
      </c>
    </row>
    <row r="31" spans="1:21" x14ac:dyDescent="0.25">
      <c r="A31" s="5">
        <v>30</v>
      </c>
      <c r="B31" s="2" t="s">
        <v>162</v>
      </c>
      <c r="C31" s="3">
        <v>42630</v>
      </c>
      <c r="D31" s="3">
        <v>42634</v>
      </c>
      <c r="E31" s="2" t="s">
        <v>49</v>
      </c>
      <c r="F31" s="2" t="s">
        <v>163</v>
      </c>
      <c r="G31" s="2" t="s">
        <v>164</v>
      </c>
      <c r="H31" s="2" t="s">
        <v>25</v>
      </c>
      <c r="I31" s="2" t="s">
        <v>26</v>
      </c>
      <c r="J31" s="2" t="s">
        <v>145</v>
      </c>
      <c r="K31" s="2" t="s">
        <v>146</v>
      </c>
      <c r="L31" s="2">
        <v>19140</v>
      </c>
      <c r="M31" s="2" t="s">
        <v>147</v>
      </c>
      <c r="N31" s="2" t="s">
        <v>169</v>
      </c>
      <c r="O31" s="2" t="s">
        <v>31</v>
      </c>
      <c r="P31" s="2" t="s">
        <v>64</v>
      </c>
      <c r="Q31" s="2" t="s">
        <v>170</v>
      </c>
      <c r="R31" s="2">
        <v>124.20000000000002</v>
      </c>
      <c r="S31" s="2">
        <v>3</v>
      </c>
      <c r="T31" s="2">
        <v>0.2</v>
      </c>
      <c r="U31" s="6">
        <v>15.524999999999991</v>
      </c>
    </row>
    <row r="32" spans="1:21" x14ac:dyDescent="0.25">
      <c r="A32" s="5">
        <v>31</v>
      </c>
      <c r="B32" s="2" t="s">
        <v>162</v>
      </c>
      <c r="C32" s="3">
        <v>42630</v>
      </c>
      <c r="D32" s="3">
        <v>42634</v>
      </c>
      <c r="E32" s="2" t="s">
        <v>49</v>
      </c>
      <c r="F32" s="2" t="s">
        <v>163</v>
      </c>
      <c r="G32" s="2" t="s">
        <v>164</v>
      </c>
      <c r="H32" s="2" t="s">
        <v>25</v>
      </c>
      <c r="I32" s="2" t="s">
        <v>26</v>
      </c>
      <c r="J32" s="2" t="s">
        <v>145</v>
      </c>
      <c r="K32" s="2" t="s">
        <v>146</v>
      </c>
      <c r="L32" s="2">
        <v>19140</v>
      </c>
      <c r="M32" s="2" t="s">
        <v>147</v>
      </c>
      <c r="N32" s="2" t="s">
        <v>171</v>
      </c>
      <c r="O32" s="2" t="s">
        <v>45</v>
      </c>
      <c r="P32" s="2" t="s">
        <v>172</v>
      </c>
      <c r="Q32" s="2" t="s">
        <v>173</v>
      </c>
      <c r="R32" s="2">
        <v>3.2640000000000002</v>
      </c>
      <c r="S32" s="2">
        <v>2</v>
      </c>
      <c r="T32" s="2">
        <v>0.2</v>
      </c>
      <c r="U32" s="6">
        <v>1.1015999999999997</v>
      </c>
    </row>
    <row r="33" spans="1:21" x14ac:dyDescent="0.25">
      <c r="A33" s="5">
        <v>32</v>
      </c>
      <c r="B33" s="2" t="s">
        <v>162</v>
      </c>
      <c r="C33" s="3">
        <v>42630</v>
      </c>
      <c r="D33" s="3">
        <v>42634</v>
      </c>
      <c r="E33" s="2" t="s">
        <v>49</v>
      </c>
      <c r="F33" s="2" t="s">
        <v>163</v>
      </c>
      <c r="G33" s="2" t="s">
        <v>164</v>
      </c>
      <c r="H33" s="2" t="s">
        <v>25</v>
      </c>
      <c r="I33" s="2" t="s">
        <v>26</v>
      </c>
      <c r="J33" s="2" t="s">
        <v>145</v>
      </c>
      <c r="K33" s="2" t="s">
        <v>146</v>
      </c>
      <c r="L33" s="2">
        <v>19140</v>
      </c>
      <c r="M33" s="2" t="s">
        <v>147</v>
      </c>
      <c r="N33" s="2" t="s">
        <v>174</v>
      </c>
      <c r="O33" s="2" t="s">
        <v>45</v>
      </c>
      <c r="P33" s="2" t="s">
        <v>67</v>
      </c>
      <c r="Q33" s="2" t="s">
        <v>175</v>
      </c>
      <c r="R33" s="2">
        <v>86.304000000000002</v>
      </c>
      <c r="S33" s="2">
        <v>6</v>
      </c>
      <c r="T33" s="2">
        <v>0.2</v>
      </c>
      <c r="U33" s="6">
        <v>9.7091999999999885</v>
      </c>
    </row>
    <row r="34" spans="1:21" x14ac:dyDescent="0.25">
      <c r="A34" s="5">
        <v>33</v>
      </c>
      <c r="B34" s="2" t="s">
        <v>162</v>
      </c>
      <c r="C34" s="3">
        <v>42630</v>
      </c>
      <c r="D34" s="3">
        <v>42634</v>
      </c>
      <c r="E34" s="2" t="s">
        <v>49</v>
      </c>
      <c r="F34" s="2" t="s">
        <v>163</v>
      </c>
      <c r="G34" s="2" t="s">
        <v>164</v>
      </c>
      <c r="H34" s="2" t="s">
        <v>25</v>
      </c>
      <c r="I34" s="2" t="s">
        <v>26</v>
      </c>
      <c r="J34" s="2" t="s">
        <v>145</v>
      </c>
      <c r="K34" s="2" t="s">
        <v>146</v>
      </c>
      <c r="L34" s="2">
        <v>19140</v>
      </c>
      <c r="M34" s="2" t="s">
        <v>147</v>
      </c>
      <c r="N34" s="2" t="s">
        <v>176</v>
      </c>
      <c r="O34" s="2" t="s">
        <v>45</v>
      </c>
      <c r="P34" s="2" t="s">
        <v>74</v>
      </c>
      <c r="Q34" s="2" t="s">
        <v>177</v>
      </c>
      <c r="R34" s="2">
        <v>6.8580000000000014</v>
      </c>
      <c r="S34" s="2">
        <v>6</v>
      </c>
      <c r="T34" s="2">
        <v>0.7</v>
      </c>
      <c r="U34" s="6">
        <v>-5.7149999999999999</v>
      </c>
    </row>
    <row r="35" spans="1:21" x14ac:dyDescent="0.25">
      <c r="A35" s="5">
        <v>34</v>
      </c>
      <c r="B35" s="2" t="s">
        <v>162</v>
      </c>
      <c r="C35" s="3">
        <v>42630</v>
      </c>
      <c r="D35" s="3">
        <v>42634</v>
      </c>
      <c r="E35" s="2" t="s">
        <v>49</v>
      </c>
      <c r="F35" s="2" t="s">
        <v>163</v>
      </c>
      <c r="G35" s="2" t="s">
        <v>164</v>
      </c>
      <c r="H35" s="2" t="s">
        <v>25</v>
      </c>
      <c r="I35" s="2" t="s">
        <v>26</v>
      </c>
      <c r="J35" s="2" t="s">
        <v>145</v>
      </c>
      <c r="K35" s="2" t="s">
        <v>146</v>
      </c>
      <c r="L35" s="2">
        <v>19140</v>
      </c>
      <c r="M35" s="2" t="s">
        <v>147</v>
      </c>
      <c r="N35" s="2" t="s">
        <v>178</v>
      </c>
      <c r="O35" s="2" t="s">
        <v>45</v>
      </c>
      <c r="P35" s="2" t="s">
        <v>67</v>
      </c>
      <c r="Q35" s="2" t="s">
        <v>179</v>
      </c>
      <c r="R35" s="2">
        <v>15.76</v>
      </c>
      <c r="S35" s="2">
        <v>2</v>
      </c>
      <c r="T35" s="2">
        <v>0.2</v>
      </c>
      <c r="U35" s="6">
        <v>3.5460000000000007</v>
      </c>
    </row>
    <row r="36" spans="1:21" x14ac:dyDescent="0.25">
      <c r="A36" s="5">
        <v>35</v>
      </c>
      <c r="B36" s="2" t="s">
        <v>180</v>
      </c>
      <c r="C36" s="3">
        <v>43392</v>
      </c>
      <c r="D36" s="3">
        <v>43396</v>
      </c>
      <c r="E36" s="2" t="s">
        <v>22</v>
      </c>
      <c r="F36" s="2" t="s">
        <v>181</v>
      </c>
      <c r="G36" s="2" t="s">
        <v>182</v>
      </c>
      <c r="H36" s="2" t="s">
        <v>101</v>
      </c>
      <c r="I36" s="2" t="s">
        <v>26</v>
      </c>
      <c r="J36" s="2" t="s">
        <v>183</v>
      </c>
      <c r="K36" s="2" t="s">
        <v>103</v>
      </c>
      <c r="L36" s="2">
        <v>77095</v>
      </c>
      <c r="M36" s="2" t="s">
        <v>104</v>
      </c>
      <c r="N36" s="2" t="s">
        <v>184</v>
      </c>
      <c r="O36" s="2" t="s">
        <v>45</v>
      </c>
      <c r="P36" s="2" t="s">
        <v>89</v>
      </c>
      <c r="Q36" s="2" t="s">
        <v>185</v>
      </c>
      <c r="R36" s="2">
        <v>29.472000000000001</v>
      </c>
      <c r="S36" s="2">
        <v>3</v>
      </c>
      <c r="T36" s="2">
        <v>0.2</v>
      </c>
      <c r="U36" s="6">
        <v>9.9467999999999979</v>
      </c>
    </row>
    <row r="37" spans="1:21" x14ac:dyDescent="0.25">
      <c r="A37" s="5">
        <v>36</v>
      </c>
      <c r="B37" s="2" t="s">
        <v>186</v>
      </c>
      <c r="C37" s="3">
        <v>43077</v>
      </c>
      <c r="D37" s="3">
        <v>43079</v>
      </c>
      <c r="E37" s="2" t="s">
        <v>187</v>
      </c>
      <c r="F37" s="2" t="s">
        <v>188</v>
      </c>
      <c r="G37" s="2" t="s">
        <v>189</v>
      </c>
      <c r="H37" s="2" t="s">
        <v>40</v>
      </c>
      <c r="I37" s="2" t="s">
        <v>26</v>
      </c>
      <c r="J37" s="2" t="s">
        <v>190</v>
      </c>
      <c r="K37" s="2" t="s">
        <v>103</v>
      </c>
      <c r="L37" s="2">
        <v>75080</v>
      </c>
      <c r="M37" s="2" t="s">
        <v>104</v>
      </c>
      <c r="N37" s="2" t="s">
        <v>191</v>
      </c>
      <c r="O37" s="2" t="s">
        <v>70</v>
      </c>
      <c r="P37" s="2" t="s">
        <v>71</v>
      </c>
      <c r="Q37" s="2" t="s">
        <v>192</v>
      </c>
      <c r="R37" s="2">
        <v>1097.5440000000003</v>
      </c>
      <c r="S37" s="2">
        <v>7</v>
      </c>
      <c r="T37" s="2">
        <v>0.2</v>
      </c>
      <c r="U37" s="6">
        <v>123.47369999999989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24166-7087-4495-8DC6-8FDF5A69433E}">
  <dimension ref="A1:U37"/>
  <sheetViews>
    <sheetView workbookViewId="0">
      <selection sqref="A1:XFD1048576"/>
    </sheetView>
  </sheetViews>
  <sheetFormatPr defaultColWidth="14.7109375" defaultRowHeight="15" x14ac:dyDescent="0.25"/>
  <cols>
    <col min="1" max="1" width="11.5703125" bestFit="1" customWidth="1"/>
    <col min="2" max="2" width="15" bestFit="1" customWidth="1"/>
    <col min="3" max="3" width="16" bestFit="1" customWidth="1"/>
    <col min="4" max="4" width="14" bestFit="1" customWidth="1"/>
    <col min="5" max="5" width="15.28515625" bestFit="1" customWidth="1"/>
    <col min="6" max="6" width="17.5703125" bestFit="1" customWidth="1"/>
    <col min="7" max="7" width="21.5703125" bestFit="1" customWidth="1"/>
    <col min="8" max="8" width="13.140625" bestFit="1" customWidth="1"/>
    <col min="9" max="9" width="12.85546875" bestFit="1" customWidth="1"/>
    <col min="10" max="10" width="15" bestFit="1" customWidth="1"/>
    <col min="11" max="11" width="14" bestFit="1" customWidth="1"/>
    <col min="12" max="12" width="16.5703125" bestFit="1" customWidth="1"/>
    <col min="13" max="13" width="11" bestFit="1" customWidth="1"/>
    <col min="14" max="14" width="16.5703125" bestFit="1" customWidth="1"/>
    <col min="15" max="15" width="14.5703125" bestFit="1" customWidth="1"/>
    <col min="16" max="16" width="18.5703125" bestFit="1" customWidth="1"/>
    <col min="17" max="17" width="72.28515625" bestFit="1" customWidth="1"/>
    <col min="18" max="18" width="9.140625" bestFit="1" customWidth="1"/>
    <col min="19" max="19" width="13.140625" bestFit="1" customWidth="1"/>
    <col min="20" max="20" width="13.28515625" bestFit="1" customWidth="1"/>
    <col min="21" max="21" width="10.7109375" bestFit="1" customWidth="1"/>
  </cols>
  <sheetData>
    <row r="1" spans="1:21" ht="18.75" x14ac:dyDescent="0.3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</row>
    <row r="2" spans="1:21" x14ac:dyDescent="0.25">
      <c r="A2" s="5" t="s">
        <v>0</v>
      </c>
      <c r="B2" s="2" t="s">
        <v>123</v>
      </c>
      <c r="C2" s="3">
        <v>42243</v>
      </c>
      <c r="D2" s="3">
        <v>42248</v>
      </c>
      <c r="E2" s="2" t="s">
        <v>22</v>
      </c>
      <c r="F2" s="2" t="s">
        <v>124</v>
      </c>
      <c r="G2" s="2" t="s">
        <v>125</v>
      </c>
      <c r="H2" s="2" t="s">
        <v>25</v>
      </c>
      <c r="I2" s="2" t="s">
        <v>26</v>
      </c>
      <c r="J2" s="2" t="s">
        <v>126</v>
      </c>
      <c r="K2" s="2" t="s">
        <v>42</v>
      </c>
      <c r="L2" s="2">
        <v>94109</v>
      </c>
      <c r="M2" s="2" t="s">
        <v>43</v>
      </c>
      <c r="N2" s="2" t="s">
        <v>129</v>
      </c>
      <c r="O2" s="2" t="s">
        <v>70</v>
      </c>
      <c r="P2" s="2" t="s">
        <v>71</v>
      </c>
      <c r="Q2" s="2" t="s">
        <v>130</v>
      </c>
      <c r="R2" s="2">
        <v>213.48000000000002</v>
      </c>
      <c r="S2" s="2">
        <v>3</v>
      </c>
      <c r="T2" s="2">
        <v>0.2</v>
      </c>
      <c r="U2" s="6">
        <v>16.010999999999981</v>
      </c>
    </row>
    <row r="3" spans="1:21" x14ac:dyDescent="0.25">
      <c r="A3" s="5">
        <v>21</v>
      </c>
      <c r="B3" s="2" t="s">
        <v>123</v>
      </c>
      <c r="C3" s="3">
        <v>42243</v>
      </c>
      <c r="D3" s="3">
        <v>42248</v>
      </c>
      <c r="E3" s="2" t="s">
        <v>22</v>
      </c>
      <c r="F3" s="2" t="s">
        <v>124</v>
      </c>
      <c r="G3" s="2" t="s">
        <v>125</v>
      </c>
      <c r="H3" s="2" t="s">
        <v>25</v>
      </c>
      <c r="I3" s="2" t="s">
        <v>26</v>
      </c>
      <c r="J3" s="2" t="s">
        <v>126</v>
      </c>
      <c r="K3" s="2" t="s">
        <v>42</v>
      </c>
      <c r="L3" s="2">
        <v>94109</v>
      </c>
      <c r="M3" s="2" t="s">
        <v>43</v>
      </c>
      <c r="N3" s="2" t="s">
        <v>131</v>
      </c>
      <c r="O3" s="2" t="s">
        <v>45</v>
      </c>
      <c r="P3" s="2" t="s">
        <v>74</v>
      </c>
      <c r="Q3" s="2" t="s">
        <v>132</v>
      </c>
      <c r="R3" s="2">
        <v>22.72</v>
      </c>
      <c r="S3" s="2">
        <v>4</v>
      </c>
      <c r="T3" s="2">
        <v>0.2</v>
      </c>
      <c r="U3" s="6">
        <v>7.3839999999999986</v>
      </c>
    </row>
    <row r="4" spans="1:21" x14ac:dyDescent="0.25">
      <c r="A4" s="5">
        <v>19</v>
      </c>
      <c r="B4" s="2" t="s">
        <v>123</v>
      </c>
      <c r="C4" s="3">
        <v>42243</v>
      </c>
      <c r="D4" s="3">
        <v>42248</v>
      </c>
      <c r="E4" s="2" t="s">
        <v>22</v>
      </c>
      <c r="F4" s="2" t="s">
        <v>124</v>
      </c>
      <c r="G4" s="2" t="s">
        <v>125</v>
      </c>
      <c r="H4" s="2" t="s">
        <v>25</v>
      </c>
      <c r="I4" s="2" t="s">
        <v>26</v>
      </c>
      <c r="J4" s="2" t="s">
        <v>126</v>
      </c>
      <c r="K4" s="2" t="s">
        <v>42</v>
      </c>
      <c r="L4" s="2">
        <v>94109</v>
      </c>
      <c r="M4" s="2" t="s">
        <v>43</v>
      </c>
      <c r="N4" s="2" t="s">
        <v>127</v>
      </c>
      <c r="O4" s="2" t="s">
        <v>45</v>
      </c>
      <c r="P4" s="2" t="s">
        <v>67</v>
      </c>
      <c r="Q4" s="2" t="s">
        <v>128</v>
      </c>
      <c r="R4" s="2">
        <v>8.56</v>
      </c>
      <c r="S4" s="2">
        <v>2</v>
      </c>
      <c r="T4" s="2">
        <v>0</v>
      </c>
      <c r="U4" s="6">
        <v>2.4823999999999993</v>
      </c>
    </row>
    <row r="5" spans="1:21" x14ac:dyDescent="0.25">
      <c r="A5" s="5">
        <v>28</v>
      </c>
      <c r="B5" s="2" t="s">
        <v>162</v>
      </c>
      <c r="C5" s="3">
        <v>42630</v>
      </c>
      <c r="D5" s="3">
        <v>42634</v>
      </c>
      <c r="E5" s="2" t="s">
        <v>49</v>
      </c>
      <c r="F5" s="2" t="s">
        <v>163</v>
      </c>
      <c r="G5" s="2" t="s">
        <v>164</v>
      </c>
      <c r="H5" s="2" t="s">
        <v>25</v>
      </c>
      <c r="I5" s="2" t="s">
        <v>26</v>
      </c>
      <c r="J5" s="2" t="s">
        <v>145</v>
      </c>
      <c r="K5" s="2" t="s">
        <v>146</v>
      </c>
      <c r="L5" s="2">
        <v>19140</v>
      </c>
      <c r="M5" s="2" t="s">
        <v>147</v>
      </c>
      <c r="N5" s="2" t="s">
        <v>165</v>
      </c>
      <c r="O5" s="2" t="s">
        <v>31</v>
      </c>
      <c r="P5" s="2" t="s">
        <v>32</v>
      </c>
      <c r="Q5" s="2" t="s">
        <v>166</v>
      </c>
      <c r="R5" s="2">
        <v>3083.4300000000003</v>
      </c>
      <c r="S5" s="2">
        <v>7</v>
      </c>
      <c r="T5" s="2">
        <v>0.5</v>
      </c>
      <c r="U5" s="6">
        <v>-1665.0522000000001</v>
      </c>
    </row>
    <row r="6" spans="1:21" x14ac:dyDescent="0.25">
      <c r="A6" s="5">
        <v>30</v>
      </c>
      <c r="B6" s="2" t="s">
        <v>162</v>
      </c>
      <c r="C6" s="3">
        <v>42630</v>
      </c>
      <c r="D6" s="3">
        <v>42634</v>
      </c>
      <c r="E6" s="2" t="s">
        <v>49</v>
      </c>
      <c r="F6" s="2" t="s">
        <v>163</v>
      </c>
      <c r="G6" s="2" t="s">
        <v>164</v>
      </c>
      <c r="H6" s="2" t="s">
        <v>25</v>
      </c>
      <c r="I6" s="2" t="s">
        <v>26</v>
      </c>
      <c r="J6" s="2" t="s">
        <v>145</v>
      </c>
      <c r="K6" s="2" t="s">
        <v>146</v>
      </c>
      <c r="L6" s="2">
        <v>19140</v>
      </c>
      <c r="M6" s="2" t="s">
        <v>147</v>
      </c>
      <c r="N6" s="2" t="s">
        <v>169</v>
      </c>
      <c r="O6" s="2" t="s">
        <v>31</v>
      </c>
      <c r="P6" s="2" t="s">
        <v>64</v>
      </c>
      <c r="Q6" s="2" t="s">
        <v>170</v>
      </c>
      <c r="R6" s="2">
        <v>124.20000000000002</v>
      </c>
      <c r="S6" s="2">
        <v>3</v>
      </c>
      <c r="T6" s="2">
        <v>0.2</v>
      </c>
      <c r="U6" s="6">
        <v>15.524999999999991</v>
      </c>
    </row>
    <row r="7" spans="1:21" x14ac:dyDescent="0.25">
      <c r="A7" s="5">
        <v>32</v>
      </c>
      <c r="B7" s="2" t="s">
        <v>162</v>
      </c>
      <c r="C7" s="3">
        <v>42630</v>
      </c>
      <c r="D7" s="3">
        <v>42634</v>
      </c>
      <c r="E7" s="2" t="s">
        <v>49</v>
      </c>
      <c r="F7" s="2" t="s">
        <v>163</v>
      </c>
      <c r="G7" s="2" t="s">
        <v>164</v>
      </c>
      <c r="H7" s="2" t="s">
        <v>25</v>
      </c>
      <c r="I7" s="2" t="s">
        <v>26</v>
      </c>
      <c r="J7" s="2" t="s">
        <v>145</v>
      </c>
      <c r="K7" s="2" t="s">
        <v>146</v>
      </c>
      <c r="L7" s="2">
        <v>19140</v>
      </c>
      <c r="M7" s="2" t="s">
        <v>147</v>
      </c>
      <c r="N7" s="2" t="s">
        <v>174</v>
      </c>
      <c r="O7" s="2" t="s">
        <v>45</v>
      </c>
      <c r="P7" s="2" t="s">
        <v>67</v>
      </c>
      <c r="Q7" s="2" t="s">
        <v>175</v>
      </c>
      <c r="R7" s="2">
        <v>86.304000000000002</v>
      </c>
      <c r="S7" s="2">
        <v>6</v>
      </c>
      <c r="T7" s="2">
        <v>0.2</v>
      </c>
      <c r="U7" s="6">
        <v>9.7091999999999885</v>
      </c>
    </row>
    <row r="8" spans="1:21" x14ac:dyDescent="0.25">
      <c r="A8" s="5">
        <v>34</v>
      </c>
      <c r="B8" s="2" t="s">
        <v>162</v>
      </c>
      <c r="C8" s="3">
        <v>42630</v>
      </c>
      <c r="D8" s="3">
        <v>42634</v>
      </c>
      <c r="E8" s="2" t="s">
        <v>49</v>
      </c>
      <c r="F8" s="2" t="s">
        <v>163</v>
      </c>
      <c r="G8" s="2" t="s">
        <v>164</v>
      </c>
      <c r="H8" s="2" t="s">
        <v>25</v>
      </c>
      <c r="I8" s="2" t="s">
        <v>26</v>
      </c>
      <c r="J8" s="2" t="s">
        <v>145</v>
      </c>
      <c r="K8" s="2" t="s">
        <v>146</v>
      </c>
      <c r="L8" s="2">
        <v>19140</v>
      </c>
      <c r="M8" s="2" t="s">
        <v>147</v>
      </c>
      <c r="N8" s="2" t="s">
        <v>178</v>
      </c>
      <c r="O8" s="2" t="s">
        <v>45</v>
      </c>
      <c r="P8" s="2" t="s">
        <v>67</v>
      </c>
      <c r="Q8" s="2" t="s">
        <v>179</v>
      </c>
      <c r="R8" s="2">
        <v>15.76</v>
      </c>
      <c r="S8" s="2">
        <v>2</v>
      </c>
      <c r="T8" s="2">
        <v>0.2</v>
      </c>
      <c r="U8" s="6">
        <v>3.5460000000000007</v>
      </c>
    </row>
    <row r="9" spans="1:21" x14ac:dyDescent="0.25">
      <c r="A9" s="5">
        <v>29</v>
      </c>
      <c r="B9" s="2" t="s">
        <v>162</v>
      </c>
      <c r="C9" s="3">
        <v>42630</v>
      </c>
      <c r="D9" s="3">
        <v>42634</v>
      </c>
      <c r="E9" s="2" t="s">
        <v>49</v>
      </c>
      <c r="F9" s="2" t="s">
        <v>163</v>
      </c>
      <c r="G9" s="2" t="s">
        <v>164</v>
      </c>
      <c r="H9" s="2" t="s">
        <v>25</v>
      </c>
      <c r="I9" s="2" t="s">
        <v>26</v>
      </c>
      <c r="J9" s="2" t="s">
        <v>145</v>
      </c>
      <c r="K9" s="2" t="s">
        <v>146</v>
      </c>
      <c r="L9" s="2">
        <v>19140</v>
      </c>
      <c r="M9" s="2" t="s">
        <v>147</v>
      </c>
      <c r="N9" s="2" t="s">
        <v>167</v>
      </c>
      <c r="O9" s="2" t="s">
        <v>45</v>
      </c>
      <c r="P9" s="2" t="s">
        <v>74</v>
      </c>
      <c r="Q9" s="2" t="s">
        <v>168</v>
      </c>
      <c r="R9" s="2">
        <v>9.6180000000000021</v>
      </c>
      <c r="S9" s="2">
        <v>2</v>
      </c>
      <c r="T9" s="2">
        <v>0.7</v>
      </c>
      <c r="U9" s="6">
        <v>-7.0532000000000004</v>
      </c>
    </row>
    <row r="10" spans="1:21" x14ac:dyDescent="0.25">
      <c r="A10" s="5">
        <v>33</v>
      </c>
      <c r="B10" s="2" t="s">
        <v>162</v>
      </c>
      <c r="C10" s="3">
        <v>42630</v>
      </c>
      <c r="D10" s="3">
        <v>42634</v>
      </c>
      <c r="E10" s="2" t="s">
        <v>49</v>
      </c>
      <c r="F10" s="2" t="s">
        <v>163</v>
      </c>
      <c r="G10" s="2" t="s">
        <v>164</v>
      </c>
      <c r="H10" s="2" t="s">
        <v>25</v>
      </c>
      <c r="I10" s="2" t="s">
        <v>26</v>
      </c>
      <c r="J10" s="2" t="s">
        <v>145</v>
      </c>
      <c r="K10" s="2" t="s">
        <v>146</v>
      </c>
      <c r="L10" s="2">
        <v>19140</v>
      </c>
      <c r="M10" s="2" t="s">
        <v>147</v>
      </c>
      <c r="N10" s="2" t="s">
        <v>176</v>
      </c>
      <c r="O10" s="2" t="s">
        <v>45</v>
      </c>
      <c r="P10" s="2" t="s">
        <v>74</v>
      </c>
      <c r="Q10" s="2" t="s">
        <v>177</v>
      </c>
      <c r="R10" s="2">
        <v>6.8580000000000014</v>
      </c>
      <c r="S10" s="2">
        <v>6</v>
      </c>
      <c r="T10" s="2">
        <v>0.7</v>
      </c>
      <c r="U10" s="6">
        <v>-5.7149999999999999</v>
      </c>
    </row>
    <row r="11" spans="1:21" x14ac:dyDescent="0.25">
      <c r="A11" s="5">
        <v>31</v>
      </c>
      <c r="B11" s="2" t="s">
        <v>162</v>
      </c>
      <c r="C11" s="3">
        <v>42630</v>
      </c>
      <c r="D11" s="3">
        <v>42634</v>
      </c>
      <c r="E11" s="11" t="s">
        <v>49</v>
      </c>
      <c r="F11" s="2" t="s">
        <v>163</v>
      </c>
      <c r="G11" s="2" t="s">
        <v>164</v>
      </c>
      <c r="H11" s="2" t="s">
        <v>25</v>
      </c>
      <c r="I11" s="2" t="s">
        <v>26</v>
      </c>
      <c r="J11" s="2" t="s">
        <v>145</v>
      </c>
      <c r="K11" s="2" t="s">
        <v>146</v>
      </c>
      <c r="L11" s="2">
        <v>19140</v>
      </c>
      <c r="M11" s="2" t="s">
        <v>147</v>
      </c>
      <c r="N11" s="2" t="s">
        <v>171</v>
      </c>
      <c r="O11" s="2" t="s">
        <v>45</v>
      </c>
      <c r="P11" s="2" t="s">
        <v>172</v>
      </c>
      <c r="Q11" s="2" t="s">
        <v>173</v>
      </c>
      <c r="R11" s="2">
        <v>3.2640000000000002</v>
      </c>
      <c r="S11" s="2">
        <v>2</v>
      </c>
      <c r="T11" s="2">
        <v>0.2</v>
      </c>
      <c r="U11" s="6">
        <v>1.1015999999999997</v>
      </c>
    </row>
    <row r="12" spans="1:21" x14ac:dyDescent="0.25">
      <c r="A12" s="5">
        <v>4</v>
      </c>
      <c r="B12" s="2" t="s">
        <v>48</v>
      </c>
      <c r="C12" s="3">
        <v>42654</v>
      </c>
      <c r="D12" s="3">
        <v>42661</v>
      </c>
      <c r="E12" s="2" t="s">
        <v>49</v>
      </c>
      <c r="F12" s="2" t="s">
        <v>50</v>
      </c>
      <c r="G12" s="2" t="s">
        <v>51</v>
      </c>
      <c r="H12" s="2" t="s">
        <v>25</v>
      </c>
      <c r="I12" s="2" t="s">
        <v>26</v>
      </c>
      <c r="J12" s="2" t="s">
        <v>52</v>
      </c>
      <c r="K12" s="2" t="s">
        <v>53</v>
      </c>
      <c r="L12" s="2">
        <v>33311</v>
      </c>
      <c r="M12" s="2" t="s">
        <v>29</v>
      </c>
      <c r="N12" s="2" t="s">
        <v>54</v>
      </c>
      <c r="O12" s="2" t="s">
        <v>31</v>
      </c>
      <c r="P12" s="2" t="s">
        <v>55</v>
      </c>
      <c r="Q12" s="2" t="s">
        <v>56</v>
      </c>
      <c r="R12" s="2">
        <v>957.57749999999999</v>
      </c>
      <c r="S12" s="2">
        <v>5</v>
      </c>
      <c r="T12" s="2">
        <v>0.45</v>
      </c>
      <c r="U12" s="6">
        <v>-383.03100000000006</v>
      </c>
    </row>
    <row r="13" spans="1:21" x14ac:dyDescent="0.25">
      <c r="A13" s="5">
        <v>5</v>
      </c>
      <c r="B13" s="2" t="s">
        <v>48</v>
      </c>
      <c r="C13" s="3">
        <v>42654</v>
      </c>
      <c r="D13" s="3">
        <v>42661</v>
      </c>
      <c r="E13" s="2" t="s">
        <v>49</v>
      </c>
      <c r="F13" s="2" t="s">
        <v>50</v>
      </c>
      <c r="G13" s="2" t="s">
        <v>51</v>
      </c>
      <c r="H13" s="2" t="s">
        <v>25</v>
      </c>
      <c r="I13" s="2" t="s">
        <v>26</v>
      </c>
      <c r="J13" s="2" t="s">
        <v>52</v>
      </c>
      <c r="K13" s="2" t="s">
        <v>53</v>
      </c>
      <c r="L13" s="2">
        <v>33311</v>
      </c>
      <c r="M13" s="2" t="s">
        <v>29</v>
      </c>
      <c r="N13" s="2" t="s">
        <v>57</v>
      </c>
      <c r="O13" s="2" t="s">
        <v>45</v>
      </c>
      <c r="P13" s="2" t="s">
        <v>58</v>
      </c>
      <c r="Q13" s="2" t="s">
        <v>59</v>
      </c>
      <c r="R13" s="2">
        <v>22.368000000000002</v>
      </c>
      <c r="S13" s="2">
        <v>2</v>
      </c>
      <c r="T13" s="2">
        <v>0.2</v>
      </c>
      <c r="U13" s="6">
        <v>2.5163999999999991</v>
      </c>
    </row>
    <row r="14" spans="1:21" x14ac:dyDescent="0.25">
      <c r="A14" s="5">
        <v>24</v>
      </c>
      <c r="B14" s="2" t="s">
        <v>142</v>
      </c>
      <c r="C14" s="3">
        <v>43297</v>
      </c>
      <c r="D14" s="3">
        <v>43299</v>
      </c>
      <c r="E14" s="2" t="s">
        <v>22</v>
      </c>
      <c r="F14" s="2" t="s">
        <v>143</v>
      </c>
      <c r="G14" s="2" t="s">
        <v>144</v>
      </c>
      <c r="H14" s="2" t="s">
        <v>25</v>
      </c>
      <c r="I14" s="2" t="s">
        <v>26</v>
      </c>
      <c r="J14" s="2" t="s">
        <v>145</v>
      </c>
      <c r="K14" s="2" t="s">
        <v>146</v>
      </c>
      <c r="L14" s="2">
        <v>19140</v>
      </c>
      <c r="M14" s="2" t="s">
        <v>147</v>
      </c>
      <c r="N14" s="2" t="s">
        <v>148</v>
      </c>
      <c r="O14" s="2" t="s">
        <v>31</v>
      </c>
      <c r="P14" s="2" t="s">
        <v>35</v>
      </c>
      <c r="Q14" s="2" t="s">
        <v>149</v>
      </c>
      <c r="R14" s="2">
        <v>71.371999999999986</v>
      </c>
      <c r="S14" s="2">
        <v>2</v>
      </c>
      <c r="T14" s="2">
        <v>0.3</v>
      </c>
      <c r="U14" s="6">
        <v>-1.0196000000000005</v>
      </c>
    </row>
    <row r="15" spans="1:21" x14ac:dyDescent="0.25">
      <c r="A15" s="5">
        <v>17</v>
      </c>
      <c r="B15" s="2" t="s">
        <v>109</v>
      </c>
      <c r="C15" s="3">
        <v>42319</v>
      </c>
      <c r="D15" s="3">
        <v>42326</v>
      </c>
      <c r="E15" s="2" t="s">
        <v>49</v>
      </c>
      <c r="F15" s="2" t="s">
        <v>110</v>
      </c>
      <c r="G15" s="2" t="s">
        <v>111</v>
      </c>
      <c r="H15" s="2" t="s">
        <v>25</v>
      </c>
      <c r="I15" s="2" t="s">
        <v>26</v>
      </c>
      <c r="J15" s="2" t="s">
        <v>112</v>
      </c>
      <c r="K15" s="2" t="s">
        <v>113</v>
      </c>
      <c r="L15" s="2">
        <v>53711</v>
      </c>
      <c r="M15" s="2" t="s">
        <v>104</v>
      </c>
      <c r="N15" s="2" t="s">
        <v>114</v>
      </c>
      <c r="O15" s="2" t="s">
        <v>45</v>
      </c>
      <c r="P15" s="2" t="s">
        <v>58</v>
      </c>
      <c r="Q15" s="2" t="s">
        <v>115</v>
      </c>
      <c r="R15" s="2">
        <v>665.88</v>
      </c>
      <c r="S15" s="2">
        <v>6</v>
      </c>
      <c r="T15" s="2">
        <v>0</v>
      </c>
      <c r="U15" s="6">
        <v>13.317599999999999</v>
      </c>
    </row>
    <row r="16" spans="1:21" x14ac:dyDescent="0.25">
      <c r="A16" s="5">
        <v>35</v>
      </c>
      <c r="B16" s="2" t="s">
        <v>180</v>
      </c>
      <c r="C16" s="3">
        <v>43392</v>
      </c>
      <c r="D16" s="3">
        <v>43396</v>
      </c>
      <c r="E16" s="2" t="s">
        <v>22</v>
      </c>
      <c r="F16" s="2" t="s">
        <v>181</v>
      </c>
      <c r="G16" s="2" t="s">
        <v>182</v>
      </c>
      <c r="H16" s="2" t="s">
        <v>101</v>
      </c>
      <c r="I16" s="2" t="s">
        <v>26</v>
      </c>
      <c r="J16" s="2" t="s">
        <v>183</v>
      </c>
      <c r="K16" s="2" t="s">
        <v>103</v>
      </c>
      <c r="L16" s="2">
        <v>77095</v>
      </c>
      <c r="M16" s="2" t="s">
        <v>104</v>
      </c>
      <c r="N16" s="2" t="s">
        <v>184</v>
      </c>
      <c r="O16" s="2" t="s">
        <v>45</v>
      </c>
      <c r="P16" s="2" t="s">
        <v>89</v>
      </c>
      <c r="Q16" s="2" t="s">
        <v>185</v>
      </c>
      <c r="R16" s="2">
        <v>29.472000000000001</v>
      </c>
      <c r="S16" s="2">
        <v>3</v>
      </c>
      <c r="T16" s="2">
        <v>0.2</v>
      </c>
      <c r="U16" s="6">
        <v>9.9467999999999979</v>
      </c>
    </row>
    <row r="17" spans="1:21" x14ac:dyDescent="0.25">
      <c r="A17" s="5">
        <v>23</v>
      </c>
      <c r="B17" s="2" t="s">
        <v>133</v>
      </c>
      <c r="C17" s="3">
        <v>43078</v>
      </c>
      <c r="D17" s="3">
        <v>43082</v>
      </c>
      <c r="E17" s="2" t="s">
        <v>49</v>
      </c>
      <c r="F17" s="2" t="s">
        <v>134</v>
      </c>
      <c r="G17" s="2" t="s">
        <v>135</v>
      </c>
      <c r="H17" s="2" t="s">
        <v>40</v>
      </c>
      <c r="I17" s="2" t="s">
        <v>26</v>
      </c>
      <c r="J17" s="2" t="s">
        <v>136</v>
      </c>
      <c r="K17" s="2" t="s">
        <v>137</v>
      </c>
      <c r="L17" s="2">
        <v>68025</v>
      </c>
      <c r="M17" s="2" t="s">
        <v>104</v>
      </c>
      <c r="N17" s="2" t="s">
        <v>140</v>
      </c>
      <c r="O17" s="2" t="s">
        <v>45</v>
      </c>
      <c r="P17" s="2" t="s">
        <v>77</v>
      </c>
      <c r="Q17" s="2" t="s">
        <v>141</v>
      </c>
      <c r="R17" s="2">
        <v>60.339999999999996</v>
      </c>
      <c r="S17" s="2">
        <v>7</v>
      </c>
      <c r="T17" s="2">
        <v>0</v>
      </c>
      <c r="U17" s="6">
        <v>15.688400000000001</v>
      </c>
    </row>
    <row r="18" spans="1:21" x14ac:dyDescent="0.25">
      <c r="A18" s="5">
        <v>22</v>
      </c>
      <c r="B18" s="2" t="s">
        <v>133</v>
      </c>
      <c r="C18" s="3">
        <v>43078</v>
      </c>
      <c r="D18" s="3">
        <v>43082</v>
      </c>
      <c r="E18" s="2" t="s">
        <v>49</v>
      </c>
      <c r="F18" s="2" t="s">
        <v>134</v>
      </c>
      <c r="G18" s="2" t="s">
        <v>135</v>
      </c>
      <c r="H18" s="2" t="s">
        <v>40</v>
      </c>
      <c r="I18" s="2" t="s">
        <v>26</v>
      </c>
      <c r="J18" s="2" t="s">
        <v>136</v>
      </c>
      <c r="K18" s="2" t="s">
        <v>137</v>
      </c>
      <c r="L18" s="2">
        <v>68025</v>
      </c>
      <c r="M18" s="2" t="s">
        <v>104</v>
      </c>
      <c r="N18" s="2" t="s">
        <v>138</v>
      </c>
      <c r="O18" s="2" t="s">
        <v>45</v>
      </c>
      <c r="P18" s="2" t="s">
        <v>67</v>
      </c>
      <c r="Q18" s="2" t="s">
        <v>139</v>
      </c>
      <c r="R18" s="2">
        <v>19.459999999999997</v>
      </c>
      <c r="S18" s="2">
        <v>7</v>
      </c>
      <c r="T18" s="2">
        <v>0</v>
      </c>
      <c r="U18" s="6">
        <v>5.0595999999999997</v>
      </c>
    </row>
    <row r="19" spans="1:21" x14ac:dyDescent="0.25">
      <c r="A19" s="5">
        <v>14</v>
      </c>
      <c r="B19" s="2" t="s">
        <v>91</v>
      </c>
      <c r="C19" s="3">
        <v>43074</v>
      </c>
      <c r="D19" s="3">
        <v>43079</v>
      </c>
      <c r="E19" s="2" t="s">
        <v>49</v>
      </c>
      <c r="F19" s="2" t="s">
        <v>92</v>
      </c>
      <c r="G19" s="2" t="s">
        <v>93</v>
      </c>
      <c r="H19" s="2" t="s">
        <v>25</v>
      </c>
      <c r="I19" s="2" t="s">
        <v>26</v>
      </c>
      <c r="J19" s="2" t="s">
        <v>94</v>
      </c>
      <c r="K19" s="2" t="s">
        <v>95</v>
      </c>
      <c r="L19" s="2">
        <v>98103</v>
      </c>
      <c r="M19" s="2" t="s">
        <v>43</v>
      </c>
      <c r="N19" s="2" t="s">
        <v>96</v>
      </c>
      <c r="O19" s="2" t="s">
        <v>45</v>
      </c>
      <c r="P19" s="2" t="s">
        <v>74</v>
      </c>
      <c r="Q19" s="2" t="s">
        <v>97</v>
      </c>
      <c r="R19" s="2">
        <v>407.97600000000006</v>
      </c>
      <c r="S19" s="2">
        <v>3</v>
      </c>
      <c r="T19" s="2">
        <v>0.2</v>
      </c>
      <c r="U19" s="6">
        <v>132.59219999999993</v>
      </c>
    </row>
    <row r="20" spans="1:21" x14ac:dyDescent="0.25">
      <c r="A20" s="5">
        <v>15</v>
      </c>
      <c r="B20" s="2" t="s">
        <v>98</v>
      </c>
      <c r="C20" s="3">
        <v>42696</v>
      </c>
      <c r="D20" s="3">
        <v>42700</v>
      </c>
      <c r="E20" s="2" t="s">
        <v>49</v>
      </c>
      <c r="F20" s="2" t="s">
        <v>99</v>
      </c>
      <c r="G20" s="2" t="s">
        <v>100</v>
      </c>
      <c r="H20" s="2" t="s">
        <v>101</v>
      </c>
      <c r="I20" s="2" t="s">
        <v>26</v>
      </c>
      <c r="J20" s="2" t="s">
        <v>102</v>
      </c>
      <c r="K20" s="2" t="s">
        <v>103</v>
      </c>
      <c r="L20" s="2">
        <v>76106</v>
      </c>
      <c r="M20" s="2" t="s">
        <v>104</v>
      </c>
      <c r="N20" s="2" t="s">
        <v>105</v>
      </c>
      <c r="O20" s="2" t="s">
        <v>45</v>
      </c>
      <c r="P20" s="2" t="s">
        <v>77</v>
      </c>
      <c r="Q20" s="2" t="s">
        <v>106</v>
      </c>
      <c r="R20" s="2">
        <v>68.809999999999988</v>
      </c>
      <c r="S20" s="2">
        <v>5</v>
      </c>
      <c r="T20" s="2">
        <v>0.8</v>
      </c>
      <c r="U20" s="6">
        <v>-123.858</v>
      </c>
    </row>
    <row r="21" spans="1:21" x14ac:dyDescent="0.25">
      <c r="A21" s="5">
        <v>16</v>
      </c>
      <c r="B21" s="2" t="s">
        <v>98</v>
      </c>
      <c r="C21" s="3">
        <v>42696</v>
      </c>
      <c r="D21" s="3">
        <v>42700</v>
      </c>
      <c r="E21" s="2" t="s">
        <v>49</v>
      </c>
      <c r="F21" s="2" t="s">
        <v>99</v>
      </c>
      <c r="G21" s="2" t="s">
        <v>100</v>
      </c>
      <c r="H21" s="2" t="s">
        <v>101</v>
      </c>
      <c r="I21" s="2" t="s">
        <v>26</v>
      </c>
      <c r="J21" s="2" t="s">
        <v>102</v>
      </c>
      <c r="K21" s="2" t="s">
        <v>103</v>
      </c>
      <c r="L21" s="2">
        <v>76106</v>
      </c>
      <c r="M21" s="2" t="s">
        <v>104</v>
      </c>
      <c r="N21" s="2" t="s">
        <v>107</v>
      </c>
      <c r="O21" s="2" t="s">
        <v>45</v>
      </c>
      <c r="P21" s="2" t="s">
        <v>74</v>
      </c>
      <c r="Q21" s="2" t="s">
        <v>108</v>
      </c>
      <c r="R21" s="2">
        <v>2.5439999999999996</v>
      </c>
      <c r="S21" s="2">
        <v>3</v>
      </c>
      <c r="T21" s="2">
        <v>0.8</v>
      </c>
      <c r="U21" s="6">
        <v>-3.8160000000000016</v>
      </c>
    </row>
    <row r="22" spans="1:21" x14ac:dyDescent="0.25">
      <c r="A22" s="5">
        <v>36</v>
      </c>
      <c r="B22" s="2" t="s">
        <v>186</v>
      </c>
      <c r="C22" s="3">
        <v>43077</v>
      </c>
      <c r="D22" s="3">
        <v>43079</v>
      </c>
      <c r="E22" s="2" t="s">
        <v>187</v>
      </c>
      <c r="F22" s="2" t="s">
        <v>188</v>
      </c>
      <c r="G22" s="2" t="s">
        <v>189</v>
      </c>
      <c r="H22" s="2" t="s">
        <v>40</v>
      </c>
      <c r="I22" s="2" t="s">
        <v>26</v>
      </c>
      <c r="J22" s="2" t="s">
        <v>190</v>
      </c>
      <c r="K22" s="2" t="s">
        <v>103</v>
      </c>
      <c r="L22" s="2">
        <v>75080</v>
      </c>
      <c r="M22" s="2" t="s">
        <v>104</v>
      </c>
      <c r="N22" s="2" t="s">
        <v>191</v>
      </c>
      <c r="O22" s="2" t="s">
        <v>70</v>
      </c>
      <c r="P22" s="2" t="s">
        <v>71</v>
      </c>
      <c r="Q22" s="2" t="s">
        <v>192</v>
      </c>
      <c r="R22" s="2">
        <v>1097.5440000000003</v>
      </c>
      <c r="S22" s="2">
        <v>7</v>
      </c>
      <c r="T22" s="2">
        <v>0.2</v>
      </c>
      <c r="U22" s="6">
        <v>123.47369999999989</v>
      </c>
    </row>
    <row r="23" spans="1:21" x14ac:dyDescent="0.25">
      <c r="A23" s="5">
        <v>27</v>
      </c>
      <c r="B23" s="2" t="s">
        <v>154</v>
      </c>
      <c r="C23" s="3">
        <v>42751</v>
      </c>
      <c r="D23" s="3">
        <v>42755</v>
      </c>
      <c r="E23" s="2" t="s">
        <v>22</v>
      </c>
      <c r="F23" s="2" t="s">
        <v>155</v>
      </c>
      <c r="G23" s="2" t="s">
        <v>156</v>
      </c>
      <c r="H23" s="2" t="s">
        <v>25</v>
      </c>
      <c r="I23" s="2" t="s">
        <v>26</v>
      </c>
      <c r="J23" s="2" t="s">
        <v>41</v>
      </c>
      <c r="K23" s="2" t="s">
        <v>42</v>
      </c>
      <c r="L23" s="2">
        <v>90049</v>
      </c>
      <c r="M23" s="2" t="s">
        <v>43</v>
      </c>
      <c r="N23" s="2" t="s">
        <v>159</v>
      </c>
      <c r="O23" s="2" t="s">
        <v>70</v>
      </c>
      <c r="P23" s="2" t="s">
        <v>160</v>
      </c>
      <c r="Q23" s="2" t="s">
        <v>161</v>
      </c>
      <c r="R23" s="2">
        <v>90.570000000000007</v>
      </c>
      <c r="S23" s="2">
        <v>3</v>
      </c>
      <c r="T23" s="2">
        <v>0</v>
      </c>
      <c r="U23" s="6">
        <v>11.774100000000004</v>
      </c>
    </row>
    <row r="24" spans="1:21" x14ac:dyDescent="0.25">
      <c r="A24" s="5">
        <v>26</v>
      </c>
      <c r="B24" s="2" t="s">
        <v>154</v>
      </c>
      <c r="C24" s="3">
        <v>42751</v>
      </c>
      <c r="D24" s="3">
        <v>42755</v>
      </c>
      <c r="E24" s="2" t="s">
        <v>22</v>
      </c>
      <c r="F24" s="2" t="s">
        <v>155</v>
      </c>
      <c r="G24" s="2" t="s">
        <v>156</v>
      </c>
      <c r="H24" s="2" t="s">
        <v>25</v>
      </c>
      <c r="I24" s="2" t="s">
        <v>26</v>
      </c>
      <c r="J24" s="2" t="s">
        <v>41</v>
      </c>
      <c r="K24" s="2" t="s">
        <v>42</v>
      </c>
      <c r="L24" s="2">
        <v>90049</v>
      </c>
      <c r="M24" s="2" t="s">
        <v>43</v>
      </c>
      <c r="N24" s="2" t="s">
        <v>157</v>
      </c>
      <c r="O24" s="2" t="s">
        <v>45</v>
      </c>
      <c r="P24" s="2" t="s">
        <v>74</v>
      </c>
      <c r="Q24" s="2" t="s">
        <v>158</v>
      </c>
      <c r="R24" s="2">
        <v>11.648000000000001</v>
      </c>
      <c r="S24" s="2">
        <v>2</v>
      </c>
      <c r="T24" s="2">
        <v>0.2</v>
      </c>
      <c r="U24" s="6">
        <v>4.2224000000000004</v>
      </c>
    </row>
    <row r="25" spans="1:21" x14ac:dyDescent="0.25">
      <c r="A25" s="5">
        <v>25</v>
      </c>
      <c r="B25" s="2" t="s">
        <v>150</v>
      </c>
      <c r="C25" s="3">
        <v>42638</v>
      </c>
      <c r="D25" s="3">
        <v>42643</v>
      </c>
      <c r="E25" s="2" t="s">
        <v>49</v>
      </c>
      <c r="F25" s="2" t="s">
        <v>151</v>
      </c>
      <c r="G25" s="2" t="s">
        <v>152</v>
      </c>
      <c r="H25" s="2" t="s">
        <v>25</v>
      </c>
      <c r="I25" s="2" t="s">
        <v>26</v>
      </c>
      <c r="J25" s="2" t="s">
        <v>153</v>
      </c>
      <c r="K25" s="2" t="s">
        <v>120</v>
      </c>
      <c r="L25" s="2">
        <v>84057</v>
      </c>
      <c r="M25" s="2" t="s">
        <v>43</v>
      </c>
      <c r="N25" s="2" t="s">
        <v>54</v>
      </c>
      <c r="O25" s="2" t="s">
        <v>31</v>
      </c>
      <c r="P25" s="2" t="s">
        <v>55</v>
      </c>
      <c r="Q25" s="2" t="s">
        <v>56</v>
      </c>
      <c r="R25" s="2">
        <v>1044.6299999999999</v>
      </c>
      <c r="S25" s="2">
        <v>3</v>
      </c>
      <c r="T25" s="2">
        <v>0</v>
      </c>
      <c r="U25" s="6">
        <v>240.26490000000001</v>
      </c>
    </row>
    <row r="26" spans="1:21" x14ac:dyDescent="0.25">
      <c r="A26" s="5">
        <v>3</v>
      </c>
      <c r="B26" s="2" t="s">
        <v>37</v>
      </c>
      <c r="C26" s="3">
        <v>42898</v>
      </c>
      <c r="D26" s="3">
        <v>42902</v>
      </c>
      <c r="E26" s="2" t="s">
        <v>22</v>
      </c>
      <c r="F26" s="2" t="s">
        <v>38</v>
      </c>
      <c r="G26" s="2" t="s">
        <v>39</v>
      </c>
      <c r="H26" s="2" t="s">
        <v>40</v>
      </c>
      <c r="I26" s="2" t="s">
        <v>26</v>
      </c>
      <c r="J26" s="2" t="s">
        <v>41</v>
      </c>
      <c r="K26" s="2" t="s">
        <v>42</v>
      </c>
      <c r="L26" s="2">
        <v>90036</v>
      </c>
      <c r="M26" s="2" t="s">
        <v>43</v>
      </c>
      <c r="N26" s="2" t="s">
        <v>44</v>
      </c>
      <c r="O26" s="2" t="s">
        <v>45</v>
      </c>
      <c r="P26" s="2" t="s">
        <v>46</v>
      </c>
      <c r="Q26" s="2" t="s">
        <v>47</v>
      </c>
      <c r="R26" s="2">
        <v>14.62</v>
      </c>
      <c r="S26" s="2">
        <v>2</v>
      </c>
      <c r="T26" s="2">
        <v>0</v>
      </c>
      <c r="U26" s="6">
        <v>6.8713999999999995</v>
      </c>
    </row>
    <row r="27" spans="1:21" x14ac:dyDescent="0.25">
      <c r="A27" s="5">
        <v>2</v>
      </c>
      <c r="B27" s="2" t="s">
        <v>21</v>
      </c>
      <c r="C27" s="3">
        <v>43047</v>
      </c>
      <c r="D27" s="3">
        <v>43050</v>
      </c>
      <c r="E27" s="2" t="s">
        <v>22</v>
      </c>
      <c r="F27" s="2" t="s">
        <v>23</v>
      </c>
      <c r="G27" s="2" t="s">
        <v>24</v>
      </c>
      <c r="H27" s="2" t="s">
        <v>25</v>
      </c>
      <c r="I27" s="2" t="s">
        <v>26</v>
      </c>
      <c r="J27" s="2" t="s">
        <v>27</v>
      </c>
      <c r="K27" s="2" t="s">
        <v>28</v>
      </c>
      <c r="L27" s="2">
        <v>42420</v>
      </c>
      <c r="M27" s="2" t="s">
        <v>29</v>
      </c>
      <c r="N27" s="2" t="s">
        <v>34</v>
      </c>
      <c r="O27" s="2" t="s">
        <v>31</v>
      </c>
      <c r="P27" s="2" t="s">
        <v>35</v>
      </c>
      <c r="Q27" s="2" t="s">
        <v>36</v>
      </c>
      <c r="R27" s="2">
        <v>731.93999999999994</v>
      </c>
      <c r="S27" s="2">
        <v>3</v>
      </c>
      <c r="T27" s="2">
        <v>0</v>
      </c>
      <c r="U27" s="6">
        <v>219.58199999999997</v>
      </c>
    </row>
    <row r="28" spans="1:21" x14ac:dyDescent="0.25">
      <c r="A28" s="5">
        <v>1</v>
      </c>
      <c r="B28" s="2" t="s">
        <v>21</v>
      </c>
      <c r="C28" s="3">
        <v>43047</v>
      </c>
      <c r="D28" s="3">
        <v>43050</v>
      </c>
      <c r="E28" s="2" t="s">
        <v>22</v>
      </c>
      <c r="F28" s="2" t="s">
        <v>23</v>
      </c>
      <c r="G28" s="2" t="s">
        <v>24</v>
      </c>
      <c r="H28" s="2" t="s">
        <v>25</v>
      </c>
      <c r="I28" s="2" t="s">
        <v>26</v>
      </c>
      <c r="J28" s="2" t="s">
        <v>27</v>
      </c>
      <c r="K28" s="2" t="s">
        <v>28</v>
      </c>
      <c r="L28" s="2">
        <v>42420</v>
      </c>
      <c r="M28" s="2" t="s">
        <v>29</v>
      </c>
      <c r="N28" s="2" t="s">
        <v>30</v>
      </c>
      <c r="O28" s="2" t="s">
        <v>31</v>
      </c>
      <c r="P28" s="2" t="s">
        <v>32</v>
      </c>
      <c r="Q28" s="2" t="s">
        <v>33</v>
      </c>
      <c r="R28" s="2">
        <v>261.95999999999998</v>
      </c>
      <c r="S28" s="2">
        <v>2</v>
      </c>
      <c r="T28" s="2">
        <v>0</v>
      </c>
      <c r="U28" s="6">
        <v>41.913600000000002</v>
      </c>
    </row>
    <row r="29" spans="1:21" x14ac:dyDescent="0.25">
      <c r="A29" s="5">
        <v>11</v>
      </c>
      <c r="B29" s="2" t="s">
        <v>60</v>
      </c>
      <c r="C29" s="3">
        <v>42164</v>
      </c>
      <c r="D29" s="10">
        <v>42169</v>
      </c>
      <c r="E29" s="2" t="s">
        <v>49</v>
      </c>
      <c r="F29" s="2" t="s">
        <v>61</v>
      </c>
      <c r="G29" s="2" t="s">
        <v>62</v>
      </c>
      <c r="H29" s="2" t="s">
        <v>25</v>
      </c>
      <c r="I29" s="2" t="s">
        <v>26</v>
      </c>
      <c r="J29" s="2" t="s">
        <v>41</v>
      </c>
      <c r="K29" s="2" t="s">
        <v>42</v>
      </c>
      <c r="L29" s="2">
        <v>90032</v>
      </c>
      <c r="M29" s="2" t="s">
        <v>43</v>
      </c>
      <c r="N29" s="2" t="s">
        <v>79</v>
      </c>
      <c r="O29" s="2" t="s">
        <v>31</v>
      </c>
      <c r="P29" s="2" t="s">
        <v>55</v>
      </c>
      <c r="Q29" s="2" t="s">
        <v>80</v>
      </c>
      <c r="R29" s="2">
        <v>1706.1840000000002</v>
      </c>
      <c r="S29" s="2">
        <v>9</v>
      </c>
      <c r="T29" s="2">
        <v>0.2</v>
      </c>
      <c r="U29" s="6">
        <v>85.309199999999805</v>
      </c>
    </row>
    <row r="30" spans="1:21" x14ac:dyDescent="0.25">
      <c r="A30" s="5">
        <v>12</v>
      </c>
      <c r="B30" s="2" t="s">
        <v>60</v>
      </c>
      <c r="C30" s="3">
        <v>42164</v>
      </c>
      <c r="D30" s="3">
        <v>42169</v>
      </c>
      <c r="E30" s="2" t="s">
        <v>49</v>
      </c>
      <c r="F30" s="2" t="s">
        <v>61</v>
      </c>
      <c r="G30" s="2" t="s">
        <v>62</v>
      </c>
      <c r="H30" s="2" t="s">
        <v>25</v>
      </c>
      <c r="I30" s="2" t="s">
        <v>26</v>
      </c>
      <c r="J30" s="2" t="s">
        <v>41</v>
      </c>
      <c r="K30" s="2" t="s">
        <v>42</v>
      </c>
      <c r="L30" s="2">
        <v>90032</v>
      </c>
      <c r="M30" s="2" t="s">
        <v>43</v>
      </c>
      <c r="N30" s="2" t="s">
        <v>81</v>
      </c>
      <c r="O30" s="2" t="s">
        <v>70</v>
      </c>
      <c r="P30" s="2" t="s">
        <v>71</v>
      </c>
      <c r="Q30" s="2" t="s">
        <v>82</v>
      </c>
      <c r="R30" s="2">
        <v>911.42399999999998</v>
      </c>
      <c r="S30" s="2">
        <v>4</v>
      </c>
      <c r="T30" s="2">
        <v>0.2</v>
      </c>
      <c r="U30" s="6">
        <v>68.356800000000021</v>
      </c>
    </row>
    <row r="31" spans="1:21" x14ac:dyDescent="0.25">
      <c r="A31" s="5">
        <v>8</v>
      </c>
      <c r="B31" s="2" t="s">
        <v>60</v>
      </c>
      <c r="C31" s="3">
        <v>42164</v>
      </c>
      <c r="D31" s="3">
        <v>42169</v>
      </c>
      <c r="E31" s="2" t="s">
        <v>49</v>
      </c>
      <c r="F31" s="2" t="s">
        <v>61</v>
      </c>
      <c r="G31" s="2" t="s">
        <v>62</v>
      </c>
      <c r="H31" s="2" t="s">
        <v>25</v>
      </c>
      <c r="I31" s="2" t="s">
        <v>26</v>
      </c>
      <c r="J31" s="2" t="s">
        <v>41</v>
      </c>
      <c r="K31" s="2" t="s">
        <v>42</v>
      </c>
      <c r="L31" s="2">
        <v>90032</v>
      </c>
      <c r="M31" s="2" t="s">
        <v>43</v>
      </c>
      <c r="N31" s="2" t="s">
        <v>69</v>
      </c>
      <c r="O31" s="2" t="s">
        <v>70</v>
      </c>
      <c r="P31" s="2" t="s">
        <v>71</v>
      </c>
      <c r="Q31" s="2" t="s">
        <v>72</v>
      </c>
      <c r="R31" s="2">
        <v>907.15200000000004</v>
      </c>
      <c r="S31" s="2">
        <v>6</v>
      </c>
      <c r="T31" s="2">
        <v>0.2</v>
      </c>
      <c r="U31" s="6">
        <v>90.715200000000038</v>
      </c>
    </row>
    <row r="32" spans="1:21" x14ac:dyDescent="0.25">
      <c r="A32" s="5">
        <v>10</v>
      </c>
      <c r="B32" s="2" t="s">
        <v>60</v>
      </c>
      <c r="C32" s="3">
        <v>42164</v>
      </c>
      <c r="D32" s="3">
        <v>42169</v>
      </c>
      <c r="E32" s="2" t="s">
        <v>49</v>
      </c>
      <c r="F32" s="2" t="s">
        <v>61</v>
      </c>
      <c r="G32" s="2" t="s">
        <v>62</v>
      </c>
      <c r="H32" s="2" t="s">
        <v>25</v>
      </c>
      <c r="I32" s="2" t="s">
        <v>26</v>
      </c>
      <c r="J32" s="2" t="s">
        <v>41</v>
      </c>
      <c r="K32" s="2" t="s">
        <v>42</v>
      </c>
      <c r="L32" s="2">
        <v>90032</v>
      </c>
      <c r="M32" s="2" t="s">
        <v>43</v>
      </c>
      <c r="N32" s="2" t="s">
        <v>76</v>
      </c>
      <c r="O32" s="2" t="s">
        <v>45</v>
      </c>
      <c r="P32" s="2" t="s">
        <v>77</v>
      </c>
      <c r="Q32" s="2" t="s">
        <v>78</v>
      </c>
      <c r="R32" s="2">
        <v>114.9</v>
      </c>
      <c r="S32" s="2">
        <v>5</v>
      </c>
      <c r="T32" s="2">
        <v>0</v>
      </c>
      <c r="U32" s="6">
        <v>34.469999999999992</v>
      </c>
    </row>
    <row r="33" spans="1:21" x14ac:dyDescent="0.25">
      <c r="A33" s="5">
        <v>6</v>
      </c>
      <c r="B33" s="2" t="s">
        <v>60</v>
      </c>
      <c r="C33" s="3">
        <v>42164</v>
      </c>
      <c r="D33" s="3">
        <v>42169</v>
      </c>
      <c r="E33" s="2" t="s">
        <v>49</v>
      </c>
      <c r="F33" s="11" t="s">
        <v>61</v>
      </c>
      <c r="G33" s="2" t="s">
        <v>62</v>
      </c>
      <c r="H33" s="2" t="s">
        <v>25</v>
      </c>
      <c r="I33" s="2" t="s">
        <v>26</v>
      </c>
      <c r="J33" s="2" t="s">
        <v>41</v>
      </c>
      <c r="K33" s="2" t="s">
        <v>42</v>
      </c>
      <c r="L33" s="2">
        <v>90032</v>
      </c>
      <c r="M33" s="2" t="s">
        <v>43</v>
      </c>
      <c r="N33" s="2" t="s">
        <v>63</v>
      </c>
      <c r="O33" s="2" t="s">
        <v>31</v>
      </c>
      <c r="P33" s="2" t="s">
        <v>64</v>
      </c>
      <c r="Q33" s="2" t="s">
        <v>65</v>
      </c>
      <c r="R33" s="2">
        <v>48.86</v>
      </c>
      <c r="S33" s="2">
        <v>7</v>
      </c>
      <c r="T33" s="2">
        <v>0</v>
      </c>
      <c r="U33" s="6">
        <v>14.169399999999996</v>
      </c>
    </row>
    <row r="34" spans="1:21" x14ac:dyDescent="0.25">
      <c r="A34" s="5">
        <v>9</v>
      </c>
      <c r="B34" s="2" t="s">
        <v>60</v>
      </c>
      <c r="C34" s="3">
        <v>42164</v>
      </c>
      <c r="D34" s="3">
        <v>42169</v>
      </c>
      <c r="E34" s="2" t="s">
        <v>49</v>
      </c>
      <c r="F34" s="2" t="s">
        <v>61</v>
      </c>
      <c r="G34" s="11" t="s">
        <v>62</v>
      </c>
      <c r="H34" s="2" t="s">
        <v>25</v>
      </c>
      <c r="I34" s="2" t="s">
        <v>26</v>
      </c>
      <c r="J34" s="2" t="s">
        <v>41</v>
      </c>
      <c r="K34" s="2" t="s">
        <v>42</v>
      </c>
      <c r="L34" s="2">
        <v>90032</v>
      </c>
      <c r="M34" s="2" t="s">
        <v>43</v>
      </c>
      <c r="N34" s="2" t="s">
        <v>73</v>
      </c>
      <c r="O34" s="2" t="s">
        <v>45</v>
      </c>
      <c r="P34" s="2" t="s">
        <v>74</v>
      </c>
      <c r="Q34" s="2" t="s">
        <v>75</v>
      </c>
      <c r="R34" s="2">
        <v>18.504000000000001</v>
      </c>
      <c r="S34" s="2">
        <v>3</v>
      </c>
      <c r="T34" s="2">
        <v>0.2</v>
      </c>
      <c r="U34" s="6">
        <v>5.7824999999999998</v>
      </c>
    </row>
    <row r="35" spans="1:21" x14ac:dyDescent="0.25">
      <c r="A35" s="5">
        <v>7</v>
      </c>
      <c r="B35" s="2" t="s">
        <v>60</v>
      </c>
      <c r="C35" s="3">
        <v>42164</v>
      </c>
      <c r="D35" s="3">
        <v>42169</v>
      </c>
      <c r="E35" s="2" t="s">
        <v>49</v>
      </c>
      <c r="F35" s="2" t="s">
        <v>61</v>
      </c>
      <c r="G35" s="2" t="s">
        <v>62</v>
      </c>
      <c r="H35" s="2" t="s">
        <v>25</v>
      </c>
      <c r="I35" s="2" t="s">
        <v>26</v>
      </c>
      <c r="J35" s="2" t="s">
        <v>41</v>
      </c>
      <c r="K35" s="2" t="s">
        <v>42</v>
      </c>
      <c r="L35" s="2">
        <v>90032</v>
      </c>
      <c r="M35" s="2" t="s">
        <v>43</v>
      </c>
      <c r="N35" s="2" t="s">
        <v>66</v>
      </c>
      <c r="O35" s="2" t="s">
        <v>45</v>
      </c>
      <c r="P35" s="2" t="s">
        <v>67</v>
      </c>
      <c r="Q35" s="2" t="s">
        <v>68</v>
      </c>
      <c r="R35" s="2">
        <v>7.28</v>
      </c>
      <c r="S35" s="2">
        <v>4</v>
      </c>
      <c r="T35" s="2">
        <v>0</v>
      </c>
      <c r="U35" s="6">
        <v>1.9656000000000002</v>
      </c>
    </row>
    <row r="36" spans="1:21" x14ac:dyDescent="0.25">
      <c r="A36" s="5">
        <v>18</v>
      </c>
      <c r="B36" s="2" t="s">
        <v>116</v>
      </c>
      <c r="C36" s="10">
        <v>42137</v>
      </c>
      <c r="D36" s="3">
        <v>42139</v>
      </c>
      <c r="E36" s="2" t="s">
        <v>22</v>
      </c>
      <c r="F36" s="2" t="s">
        <v>117</v>
      </c>
      <c r="G36" s="2" t="s">
        <v>118</v>
      </c>
      <c r="H36" s="2" t="s">
        <v>25</v>
      </c>
      <c r="I36" s="2" t="s">
        <v>26</v>
      </c>
      <c r="J36" s="2" t="s">
        <v>119</v>
      </c>
      <c r="K36" s="2" t="s">
        <v>120</v>
      </c>
      <c r="L36" s="2">
        <v>84084</v>
      </c>
      <c r="M36" s="2" t="s">
        <v>43</v>
      </c>
      <c r="N36" s="2" t="s">
        <v>121</v>
      </c>
      <c r="O36" s="2" t="s">
        <v>45</v>
      </c>
      <c r="P36" s="2" t="s">
        <v>58</v>
      </c>
      <c r="Q36" s="2" t="s">
        <v>122</v>
      </c>
      <c r="R36" s="2">
        <v>55.5</v>
      </c>
      <c r="S36" s="2">
        <v>2</v>
      </c>
      <c r="T36" s="2">
        <v>0</v>
      </c>
      <c r="U36" s="6">
        <v>9.9899999999999949</v>
      </c>
    </row>
    <row r="37" spans="1:21" x14ac:dyDescent="0.25">
      <c r="A37" s="5">
        <v>13</v>
      </c>
      <c r="B37" s="2" t="s">
        <v>83</v>
      </c>
      <c r="C37" s="3">
        <v>43205</v>
      </c>
      <c r="D37" s="3">
        <v>43210</v>
      </c>
      <c r="E37" s="2" t="s">
        <v>49</v>
      </c>
      <c r="F37" s="2" t="s">
        <v>84</v>
      </c>
      <c r="G37" s="2" t="s">
        <v>85</v>
      </c>
      <c r="H37" s="2" t="s">
        <v>25</v>
      </c>
      <c r="I37" s="2" t="s">
        <v>26</v>
      </c>
      <c r="J37" s="2" t="s">
        <v>86</v>
      </c>
      <c r="K37" s="2" t="s">
        <v>87</v>
      </c>
      <c r="L37" s="2">
        <v>28027</v>
      </c>
      <c r="M37" s="2" t="s">
        <v>29</v>
      </c>
      <c r="N37" s="2" t="s">
        <v>88</v>
      </c>
      <c r="O37" s="2" t="s">
        <v>45</v>
      </c>
      <c r="P37" s="2" t="s">
        <v>89</v>
      </c>
      <c r="Q37" s="2" t="s">
        <v>90</v>
      </c>
      <c r="R37" s="2">
        <v>15.552000000000003</v>
      </c>
      <c r="S37" s="2">
        <v>3</v>
      </c>
      <c r="T37" s="2">
        <v>0.2</v>
      </c>
      <c r="U37" s="6">
        <v>5.4432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95878-11EC-4A8E-A932-4A74E9982454}">
  <dimension ref="A1:U52"/>
  <sheetViews>
    <sheetView showGridLines="0" zoomScale="85" zoomScaleNormal="85" workbookViewId="0">
      <selection activeCell="F4" sqref="F4"/>
    </sheetView>
  </sheetViews>
  <sheetFormatPr defaultColWidth="14.5703125" defaultRowHeight="15" x14ac:dyDescent="0.25"/>
  <cols>
    <col min="1" max="1" width="29.42578125" style="4" bestFit="1" customWidth="1"/>
    <col min="2" max="2" width="15.140625" style="4" bestFit="1" customWidth="1"/>
    <col min="3" max="3" width="16.140625" style="4" bestFit="1" customWidth="1"/>
    <col min="4" max="4" width="26.5703125" style="4" bestFit="1" customWidth="1"/>
    <col min="5" max="5" width="30.140625" style="4" customWidth="1"/>
    <col min="6" max="6" width="17.5703125" style="4" bestFit="1" customWidth="1"/>
    <col min="7" max="7" width="21.7109375" style="4" bestFit="1" customWidth="1"/>
    <col min="8" max="8" width="13.28515625" style="4" bestFit="1" customWidth="1"/>
    <col min="9" max="9" width="13.7109375" style="4" bestFit="1" customWidth="1"/>
    <col min="10" max="10" width="15.7109375" style="4" bestFit="1" customWidth="1"/>
    <col min="11" max="11" width="14.5703125" style="4"/>
    <col min="12" max="12" width="17" style="4" bestFit="1" customWidth="1"/>
    <col min="13" max="13" width="11.42578125" style="4" bestFit="1" customWidth="1"/>
    <col min="14" max="14" width="16.7109375" style="4" bestFit="1" customWidth="1"/>
    <col min="15" max="15" width="15.28515625" style="4" bestFit="1" customWidth="1"/>
    <col min="16" max="16" width="18.5703125" style="4" bestFit="1" customWidth="1"/>
    <col min="17" max="17" width="74.28515625" style="4" bestFit="1" customWidth="1"/>
    <col min="18" max="18" width="12.28515625" style="4" bestFit="1" customWidth="1"/>
    <col min="19" max="19" width="13.28515625" style="4" bestFit="1" customWidth="1"/>
    <col min="20" max="20" width="13.42578125" style="4" bestFit="1" customWidth="1"/>
    <col min="21" max="21" width="12.85546875" style="4" bestFit="1" customWidth="1"/>
    <col min="22" max="16384" width="14.5703125" style="4"/>
  </cols>
  <sheetData>
    <row r="1" spans="1:21" ht="23.25" x14ac:dyDescent="0.35">
      <c r="A1" s="14" t="s">
        <v>202</v>
      </c>
      <c r="B1" s="15"/>
      <c r="C1" s="13"/>
      <c r="D1" s="26" t="s">
        <v>204</v>
      </c>
      <c r="U1" s="12"/>
    </row>
    <row r="2" spans="1:21" x14ac:dyDescent="0.25">
      <c r="A2" s="16" t="s">
        <v>203</v>
      </c>
      <c r="B2" s="17" t="s">
        <v>193</v>
      </c>
      <c r="C2" s="13"/>
      <c r="U2" s="12"/>
    </row>
    <row r="3" spans="1:21" ht="105" x14ac:dyDescent="0.25">
      <c r="A3" s="20" t="s">
        <v>194</v>
      </c>
      <c r="B3" s="21">
        <f>SUM(R12:R101)</f>
        <v>29281.337597222224</v>
      </c>
      <c r="C3" s="13"/>
      <c r="D3" s="27" t="s">
        <v>205</v>
      </c>
      <c r="E3" s="29" t="s">
        <v>210</v>
      </c>
      <c r="U3" s="12"/>
    </row>
    <row r="4" spans="1:21" ht="90" x14ac:dyDescent="0.25">
      <c r="A4" s="20" t="s">
        <v>195</v>
      </c>
      <c r="B4" s="21">
        <f>AVERAGE(R12:R101)</f>
        <v>732.03343993055557</v>
      </c>
      <c r="C4" s="13"/>
      <c r="D4" s="27" t="s">
        <v>207</v>
      </c>
      <c r="E4" s="28" t="s">
        <v>208</v>
      </c>
      <c r="U4" s="12"/>
    </row>
    <row r="5" spans="1:21" x14ac:dyDescent="0.25">
      <c r="A5" s="20" t="s">
        <v>196</v>
      </c>
      <c r="B5" s="21">
        <f>MAX(R12:R101)</f>
        <v>12918.261500000001</v>
      </c>
      <c r="C5" s="13"/>
      <c r="U5" s="12"/>
    </row>
    <row r="6" spans="1:21" x14ac:dyDescent="0.25">
      <c r="A6" s="20" t="s">
        <v>197</v>
      </c>
      <c r="B6" s="21">
        <f>MIN(R12:R101)</f>
        <v>2.5439999999999996</v>
      </c>
      <c r="C6" s="13"/>
      <c r="U6" s="12"/>
    </row>
    <row r="7" spans="1:21" x14ac:dyDescent="0.25">
      <c r="A7" s="18"/>
      <c r="B7" s="19"/>
      <c r="C7" s="13"/>
      <c r="U7" s="12"/>
    </row>
    <row r="8" spans="1:21" ht="105" x14ac:dyDescent="0.25">
      <c r="A8" s="22" t="s">
        <v>198</v>
      </c>
      <c r="B8" s="23">
        <f>SUM(U12:U101)</f>
        <v>-3433.0189222222225</v>
      </c>
      <c r="C8" s="13"/>
      <c r="D8" s="27" t="s">
        <v>206</v>
      </c>
      <c r="E8" s="28" t="s">
        <v>209</v>
      </c>
      <c r="U8" s="12"/>
    </row>
    <row r="9" spans="1:21" x14ac:dyDescent="0.25">
      <c r="A9" s="22" t="s">
        <v>199</v>
      </c>
      <c r="B9" s="23">
        <f>AVERAGE(U11:U100)</f>
        <v>-85.825473055555562</v>
      </c>
      <c r="C9" s="13"/>
      <c r="U9" s="12"/>
    </row>
    <row r="10" spans="1:21" x14ac:dyDescent="0.25">
      <c r="A10" s="22" t="s">
        <v>200</v>
      </c>
      <c r="B10" s="23">
        <f>MAX((U11:U100))</f>
        <v>240.26490000000001</v>
      </c>
      <c r="C10" s="13"/>
      <c r="U10" s="12"/>
    </row>
    <row r="11" spans="1:21" ht="15.75" thickBot="1" x14ac:dyDescent="0.3">
      <c r="A11" s="24" t="s">
        <v>201</v>
      </c>
      <c r="B11" s="25">
        <f>MIN(U11:U100)</f>
        <v>-1665.0522000000001</v>
      </c>
      <c r="C11" s="13"/>
      <c r="U11" s="12"/>
    </row>
    <row r="12" spans="1:21" s="1" customFormat="1" ht="18.75" x14ac:dyDescent="0.3">
      <c r="A12" s="7" t="s">
        <v>0</v>
      </c>
      <c r="B12" s="8" t="s">
        <v>1</v>
      </c>
      <c r="C12" s="8" t="s">
        <v>2</v>
      </c>
      <c r="D12" s="8" t="s">
        <v>3</v>
      </c>
      <c r="E12" s="8" t="s">
        <v>4</v>
      </c>
      <c r="F12" s="8" t="s">
        <v>5</v>
      </c>
      <c r="G12" s="8" t="s">
        <v>6</v>
      </c>
      <c r="H12" s="8" t="s">
        <v>7</v>
      </c>
      <c r="I12" s="8" t="s">
        <v>8</v>
      </c>
      <c r="J12" s="8" t="s">
        <v>9</v>
      </c>
      <c r="K12" s="8" t="s">
        <v>10</v>
      </c>
      <c r="L12" s="8" t="s">
        <v>11</v>
      </c>
      <c r="M12" s="8" t="s">
        <v>12</v>
      </c>
      <c r="N12" s="8" t="s">
        <v>13</v>
      </c>
      <c r="O12" s="8" t="s">
        <v>14</v>
      </c>
      <c r="P12" s="8" t="s">
        <v>15</v>
      </c>
      <c r="Q12" s="8" t="s">
        <v>16</v>
      </c>
      <c r="R12" s="8" t="s">
        <v>17</v>
      </c>
      <c r="S12" s="8" t="s">
        <v>18</v>
      </c>
      <c r="T12" s="8" t="s">
        <v>19</v>
      </c>
      <c r="U12" s="9" t="s">
        <v>20</v>
      </c>
    </row>
    <row r="13" spans="1:21" x14ac:dyDescent="0.25">
      <c r="A13" s="5">
        <v>1</v>
      </c>
      <c r="B13" s="2" t="s">
        <v>21</v>
      </c>
      <c r="C13" s="3">
        <v>43047</v>
      </c>
      <c r="D13" s="3">
        <v>43050</v>
      </c>
      <c r="E13" s="2" t="s">
        <v>22</v>
      </c>
      <c r="F13" s="2" t="s">
        <v>23</v>
      </c>
      <c r="G13" s="2" t="s">
        <v>24</v>
      </c>
      <c r="H13" s="2" t="s">
        <v>25</v>
      </c>
      <c r="I13" s="2" t="s">
        <v>26</v>
      </c>
      <c r="J13" s="2" t="s">
        <v>27</v>
      </c>
      <c r="K13" s="2" t="s">
        <v>28</v>
      </c>
      <c r="L13" s="2">
        <v>42420</v>
      </c>
      <c r="M13" s="2" t="s">
        <v>29</v>
      </c>
      <c r="N13" s="2" t="s">
        <v>30</v>
      </c>
      <c r="O13" s="2" t="s">
        <v>31</v>
      </c>
      <c r="P13" s="2" t="s">
        <v>32</v>
      </c>
      <c r="Q13" s="2" t="s">
        <v>33</v>
      </c>
      <c r="R13" s="2">
        <v>261.95999999999998</v>
      </c>
      <c r="S13" s="2">
        <v>2</v>
      </c>
      <c r="T13" s="2">
        <v>0</v>
      </c>
      <c r="U13" s="6">
        <v>41.913600000000002</v>
      </c>
    </row>
    <row r="14" spans="1:21" x14ac:dyDescent="0.25">
      <c r="A14" s="5">
        <v>2</v>
      </c>
      <c r="B14" s="2" t="s">
        <v>21</v>
      </c>
      <c r="C14" s="3">
        <v>43047</v>
      </c>
      <c r="D14" s="3">
        <v>43050</v>
      </c>
      <c r="E14" s="2" t="s">
        <v>22</v>
      </c>
      <c r="F14" s="2" t="s">
        <v>23</v>
      </c>
      <c r="G14" s="2" t="s">
        <v>24</v>
      </c>
      <c r="H14" s="2" t="s">
        <v>25</v>
      </c>
      <c r="I14" s="2" t="s">
        <v>26</v>
      </c>
      <c r="J14" s="2" t="s">
        <v>27</v>
      </c>
      <c r="K14" s="2" t="s">
        <v>28</v>
      </c>
      <c r="L14" s="2">
        <v>42420</v>
      </c>
      <c r="M14" s="2" t="s">
        <v>29</v>
      </c>
      <c r="N14" s="2" t="s">
        <v>34</v>
      </c>
      <c r="O14" s="2" t="s">
        <v>31</v>
      </c>
      <c r="P14" s="2" t="s">
        <v>35</v>
      </c>
      <c r="Q14" s="2" t="s">
        <v>36</v>
      </c>
      <c r="R14" s="2">
        <v>731.93999999999994</v>
      </c>
      <c r="S14" s="2">
        <v>3</v>
      </c>
      <c r="T14" s="2">
        <v>0</v>
      </c>
      <c r="U14" s="6">
        <v>219.58199999999997</v>
      </c>
    </row>
    <row r="15" spans="1:21" x14ac:dyDescent="0.25">
      <c r="A15" s="5">
        <v>3</v>
      </c>
      <c r="B15" s="2" t="s">
        <v>37</v>
      </c>
      <c r="C15" s="3">
        <v>42898</v>
      </c>
      <c r="D15" s="3">
        <v>42902</v>
      </c>
      <c r="E15" s="2" t="s">
        <v>22</v>
      </c>
      <c r="F15" s="2" t="s">
        <v>38</v>
      </c>
      <c r="G15" s="2" t="s">
        <v>39</v>
      </c>
      <c r="H15" s="2" t="s">
        <v>40</v>
      </c>
      <c r="I15" s="2" t="s">
        <v>26</v>
      </c>
      <c r="J15" s="2" t="s">
        <v>41</v>
      </c>
      <c r="K15" s="2" t="s">
        <v>42</v>
      </c>
      <c r="L15" s="2">
        <v>90036</v>
      </c>
      <c r="M15" s="2" t="s">
        <v>43</v>
      </c>
      <c r="N15" s="2" t="s">
        <v>44</v>
      </c>
      <c r="O15" s="2" t="s">
        <v>45</v>
      </c>
      <c r="P15" s="2" t="s">
        <v>46</v>
      </c>
      <c r="Q15" s="2" t="s">
        <v>47</v>
      </c>
      <c r="R15" s="2">
        <v>14.62</v>
      </c>
      <c r="S15" s="2">
        <v>2</v>
      </c>
      <c r="T15" s="2">
        <v>0</v>
      </c>
      <c r="U15" s="6">
        <v>6.8713999999999995</v>
      </c>
    </row>
    <row r="16" spans="1:21" x14ac:dyDescent="0.25">
      <c r="A16" s="5">
        <v>4</v>
      </c>
      <c r="B16" s="2" t="s">
        <v>48</v>
      </c>
      <c r="C16" s="3">
        <v>42654</v>
      </c>
      <c r="D16" s="3">
        <v>42661</v>
      </c>
      <c r="E16" s="2" t="s">
        <v>49</v>
      </c>
      <c r="F16" s="2" t="s">
        <v>50</v>
      </c>
      <c r="G16" s="2" t="s">
        <v>51</v>
      </c>
      <c r="H16" s="2" t="s">
        <v>25</v>
      </c>
      <c r="I16" s="2" t="s">
        <v>26</v>
      </c>
      <c r="J16" s="2" t="s">
        <v>52</v>
      </c>
      <c r="K16" s="2" t="s">
        <v>53</v>
      </c>
      <c r="L16" s="2">
        <v>33311</v>
      </c>
      <c r="M16" s="2" t="s">
        <v>29</v>
      </c>
      <c r="N16" s="2" t="s">
        <v>54</v>
      </c>
      <c r="O16" s="2" t="s">
        <v>31</v>
      </c>
      <c r="P16" s="2" t="s">
        <v>55</v>
      </c>
      <c r="Q16" s="2" t="s">
        <v>56</v>
      </c>
      <c r="R16" s="2">
        <v>957.57749999999999</v>
      </c>
      <c r="S16" s="2">
        <v>5</v>
      </c>
      <c r="T16" s="2">
        <v>0.45</v>
      </c>
      <c r="U16" s="6">
        <v>-383.03100000000006</v>
      </c>
    </row>
    <row r="17" spans="1:21" x14ac:dyDescent="0.25">
      <c r="A17" s="5">
        <v>5</v>
      </c>
      <c r="B17" s="2" t="s">
        <v>48</v>
      </c>
      <c r="C17" s="3">
        <v>42654</v>
      </c>
      <c r="D17" s="3">
        <v>42661</v>
      </c>
      <c r="E17" s="2" t="s">
        <v>49</v>
      </c>
      <c r="F17" s="2" t="s">
        <v>50</v>
      </c>
      <c r="G17" s="2" t="s">
        <v>51</v>
      </c>
      <c r="H17" s="2" t="s">
        <v>25</v>
      </c>
      <c r="I17" s="2" t="s">
        <v>26</v>
      </c>
      <c r="J17" s="2" t="s">
        <v>52</v>
      </c>
      <c r="K17" s="2" t="s">
        <v>53</v>
      </c>
      <c r="L17" s="2">
        <v>33311</v>
      </c>
      <c r="M17" s="2" t="s">
        <v>29</v>
      </c>
      <c r="N17" s="2" t="s">
        <v>57</v>
      </c>
      <c r="O17" s="2" t="s">
        <v>45</v>
      </c>
      <c r="P17" s="2" t="s">
        <v>58</v>
      </c>
      <c r="Q17" s="2" t="s">
        <v>59</v>
      </c>
      <c r="R17" s="2">
        <v>22.368000000000002</v>
      </c>
      <c r="S17" s="2">
        <v>2</v>
      </c>
      <c r="T17" s="2">
        <v>0.2</v>
      </c>
      <c r="U17" s="6">
        <v>2.5163999999999991</v>
      </c>
    </row>
    <row r="18" spans="1:21" x14ac:dyDescent="0.25">
      <c r="A18" s="5">
        <v>6</v>
      </c>
      <c r="B18" s="2" t="s">
        <v>60</v>
      </c>
      <c r="C18" s="3">
        <v>42164</v>
      </c>
      <c r="D18" s="3">
        <v>42169</v>
      </c>
      <c r="E18" s="2" t="s">
        <v>49</v>
      </c>
      <c r="F18" s="2" t="s">
        <v>61</v>
      </c>
      <c r="G18" s="2" t="s">
        <v>62</v>
      </c>
      <c r="H18" s="2" t="s">
        <v>25</v>
      </c>
      <c r="I18" s="2" t="s">
        <v>26</v>
      </c>
      <c r="J18" s="2" t="s">
        <v>41</v>
      </c>
      <c r="K18" s="2" t="s">
        <v>42</v>
      </c>
      <c r="L18" s="2">
        <v>90032</v>
      </c>
      <c r="M18" s="2" t="s">
        <v>43</v>
      </c>
      <c r="N18" s="2" t="s">
        <v>63</v>
      </c>
      <c r="O18" s="2" t="s">
        <v>31</v>
      </c>
      <c r="P18" s="2" t="s">
        <v>64</v>
      </c>
      <c r="Q18" s="2" t="s">
        <v>65</v>
      </c>
      <c r="R18" s="2">
        <v>48.86</v>
      </c>
      <c r="S18" s="2">
        <v>7</v>
      </c>
      <c r="T18" s="2">
        <v>0</v>
      </c>
      <c r="U18" s="6">
        <v>14.169399999999996</v>
      </c>
    </row>
    <row r="19" spans="1:21" x14ac:dyDescent="0.25">
      <c r="A19" s="5">
        <v>7</v>
      </c>
      <c r="B19" s="2" t="s">
        <v>60</v>
      </c>
      <c r="C19" s="3">
        <v>42164</v>
      </c>
      <c r="D19" s="3">
        <v>42169</v>
      </c>
      <c r="E19" s="2" t="s">
        <v>49</v>
      </c>
      <c r="F19" s="2" t="s">
        <v>61</v>
      </c>
      <c r="G19" s="2" t="s">
        <v>62</v>
      </c>
      <c r="H19" s="2" t="s">
        <v>25</v>
      </c>
      <c r="I19" s="2" t="s">
        <v>26</v>
      </c>
      <c r="J19" s="2" t="s">
        <v>41</v>
      </c>
      <c r="K19" s="2" t="s">
        <v>42</v>
      </c>
      <c r="L19" s="2">
        <v>90032</v>
      </c>
      <c r="M19" s="2" t="s">
        <v>43</v>
      </c>
      <c r="N19" s="2" t="s">
        <v>66</v>
      </c>
      <c r="O19" s="2" t="s">
        <v>45</v>
      </c>
      <c r="P19" s="2" t="s">
        <v>67</v>
      </c>
      <c r="Q19" s="2" t="s">
        <v>68</v>
      </c>
      <c r="R19" s="2">
        <v>7.28</v>
      </c>
      <c r="S19" s="2">
        <v>4</v>
      </c>
      <c r="T19" s="2">
        <v>0</v>
      </c>
      <c r="U19" s="6">
        <v>1.9656000000000002</v>
      </c>
    </row>
    <row r="20" spans="1:21" x14ac:dyDescent="0.25">
      <c r="A20" s="5">
        <v>8</v>
      </c>
      <c r="B20" s="2" t="s">
        <v>60</v>
      </c>
      <c r="C20" s="3">
        <v>42164</v>
      </c>
      <c r="D20" s="3">
        <v>42169</v>
      </c>
      <c r="E20" s="2" t="s">
        <v>49</v>
      </c>
      <c r="F20" s="2" t="s">
        <v>61</v>
      </c>
      <c r="G20" s="2" t="s">
        <v>62</v>
      </c>
      <c r="H20" s="2" t="s">
        <v>25</v>
      </c>
      <c r="I20" s="2" t="s">
        <v>26</v>
      </c>
      <c r="J20" s="2" t="s">
        <v>41</v>
      </c>
      <c r="K20" s="2" t="s">
        <v>42</v>
      </c>
      <c r="L20" s="2">
        <v>90032</v>
      </c>
      <c r="M20" s="2" t="s">
        <v>43</v>
      </c>
      <c r="N20" s="2" t="s">
        <v>69</v>
      </c>
      <c r="O20" s="2" t="s">
        <v>70</v>
      </c>
      <c r="P20" s="2" t="s">
        <v>71</v>
      </c>
      <c r="Q20" s="2" t="s">
        <v>72</v>
      </c>
      <c r="R20" s="2">
        <v>907.15200000000004</v>
      </c>
      <c r="S20" s="2">
        <v>6</v>
      </c>
      <c r="T20" s="2">
        <v>0.2</v>
      </c>
      <c r="U20" s="6">
        <v>90.715200000000038</v>
      </c>
    </row>
    <row r="21" spans="1:21" x14ac:dyDescent="0.25">
      <c r="A21" s="5">
        <v>9</v>
      </c>
      <c r="B21" s="2" t="s">
        <v>60</v>
      </c>
      <c r="C21" s="3">
        <v>42164</v>
      </c>
      <c r="D21" s="3">
        <v>42169</v>
      </c>
      <c r="E21" s="2" t="s">
        <v>49</v>
      </c>
      <c r="F21" s="2" t="s">
        <v>61</v>
      </c>
      <c r="G21" s="2" t="s">
        <v>62</v>
      </c>
      <c r="H21" s="2" t="s">
        <v>25</v>
      </c>
      <c r="I21" s="2" t="s">
        <v>26</v>
      </c>
      <c r="J21" s="2" t="s">
        <v>41</v>
      </c>
      <c r="K21" s="2" t="s">
        <v>42</v>
      </c>
      <c r="L21" s="2">
        <v>90032</v>
      </c>
      <c r="M21" s="2" t="s">
        <v>43</v>
      </c>
      <c r="N21" s="2" t="s">
        <v>73</v>
      </c>
      <c r="O21" s="2" t="s">
        <v>45</v>
      </c>
      <c r="P21" s="2" t="s">
        <v>74</v>
      </c>
      <c r="Q21" s="2" t="s">
        <v>75</v>
      </c>
      <c r="R21" s="2">
        <v>18.504000000000001</v>
      </c>
      <c r="S21" s="2">
        <v>3</v>
      </c>
      <c r="T21" s="2">
        <v>0.2</v>
      </c>
      <c r="U21" s="6">
        <v>5.7824999999999998</v>
      </c>
    </row>
    <row r="22" spans="1:21" x14ac:dyDescent="0.25">
      <c r="A22" s="5">
        <v>10</v>
      </c>
      <c r="B22" s="2" t="s">
        <v>60</v>
      </c>
      <c r="C22" s="3">
        <v>42164</v>
      </c>
      <c r="D22" s="3">
        <v>42169</v>
      </c>
      <c r="E22" s="2" t="s">
        <v>49</v>
      </c>
      <c r="F22" s="2" t="s">
        <v>61</v>
      </c>
      <c r="G22" s="2" t="s">
        <v>62</v>
      </c>
      <c r="H22" s="2" t="s">
        <v>25</v>
      </c>
      <c r="I22" s="2" t="s">
        <v>26</v>
      </c>
      <c r="J22" s="2" t="s">
        <v>41</v>
      </c>
      <c r="K22" s="2" t="s">
        <v>42</v>
      </c>
      <c r="L22" s="2">
        <v>90032</v>
      </c>
      <c r="M22" s="2" t="s">
        <v>43</v>
      </c>
      <c r="N22" s="2" t="s">
        <v>76</v>
      </c>
      <c r="O22" s="2" t="s">
        <v>45</v>
      </c>
      <c r="P22" s="2" t="s">
        <v>77</v>
      </c>
      <c r="Q22" s="2" t="s">
        <v>78</v>
      </c>
      <c r="R22" s="2">
        <v>114.9</v>
      </c>
      <c r="S22" s="2">
        <v>5</v>
      </c>
      <c r="T22" s="2">
        <v>0</v>
      </c>
      <c r="U22" s="6">
        <v>34.469999999999992</v>
      </c>
    </row>
    <row r="23" spans="1:21" x14ac:dyDescent="0.25">
      <c r="A23" s="5">
        <v>11</v>
      </c>
      <c r="B23" s="2" t="s">
        <v>60</v>
      </c>
      <c r="C23" s="3">
        <v>42164</v>
      </c>
      <c r="D23" s="3">
        <v>42169</v>
      </c>
      <c r="E23" s="2" t="s">
        <v>49</v>
      </c>
      <c r="F23" s="2" t="s">
        <v>61</v>
      </c>
      <c r="G23" s="2" t="s">
        <v>62</v>
      </c>
      <c r="H23" s="2" t="s">
        <v>25</v>
      </c>
      <c r="I23" s="2" t="s">
        <v>26</v>
      </c>
      <c r="J23" s="2" t="s">
        <v>41</v>
      </c>
      <c r="K23" s="2" t="s">
        <v>42</v>
      </c>
      <c r="L23" s="2">
        <v>90032</v>
      </c>
      <c r="M23" s="2" t="s">
        <v>43</v>
      </c>
      <c r="N23" s="2" t="s">
        <v>79</v>
      </c>
      <c r="O23" s="2" t="s">
        <v>31</v>
      </c>
      <c r="P23" s="2" t="s">
        <v>55</v>
      </c>
      <c r="Q23" s="2" t="s">
        <v>80</v>
      </c>
      <c r="R23" s="2">
        <v>1706.1840000000002</v>
      </c>
      <c r="S23" s="2">
        <v>9</v>
      </c>
      <c r="T23" s="2">
        <v>0.2</v>
      </c>
      <c r="U23" s="6">
        <v>85.309199999999805</v>
      </c>
    </row>
    <row r="24" spans="1:21" x14ac:dyDescent="0.25">
      <c r="A24" s="5">
        <v>12</v>
      </c>
      <c r="B24" s="2" t="s">
        <v>60</v>
      </c>
      <c r="C24" s="3">
        <v>42164</v>
      </c>
      <c r="D24" s="3">
        <v>42169</v>
      </c>
      <c r="E24" s="2" t="s">
        <v>49</v>
      </c>
      <c r="F24" s="2" t="s">
        <v>61</v>
      </c>
      <c r="G24" s="2" t="s">
        <v>62</v>
      </c>
      <c r="H24" s="2" t="s">
        <v>25</v>
      </c>
      <c r="I24" s="2" t="s">
        <v>26</v>
      </c>
      <c r="J24" s="2" t="s">
        <v>41</v>
      </c>
      <c r="K24" s="2" t="s">
        <v>42</v>
      </c>
      <c r="L24" s="2">
        <v>90032</v>
      </c>
      <c r="M24" s="2" t="s">
        <v>43</v>
      </c>
      <c r="N24" s="2" t="s">
        <v>81</v>
      </c>
      <c r="O24" s="2" t="s">
        <v>70</v>
      </c>
      <c r="P24" s="2" t="s">
        <v>71</v>
      </c>
      <c r="Q24" s="2" t="s">
        <v>82</v>
      </c>
      <c r="R24" s="2">
        <v>911.42399999999998</v>
      </c>
      <c r="S24" s="2">
        <v>4</v>
      </c>
      <c r="T24" s="2">
        <v>0.2</v>
      </c>
      <c r="U24" s="6">
        <v>68.356800000000021</v>
      </c>
    </row>
    <row r="25" spans="1:21" x14ac:dyDescent="0.25">
      <c r="A25" s="5">
        <v>13</v>
      </c>
      <c r="B25" s="2" t="s">
        <v>83</v>
      </c>
      <c r="C25" s="3">
        <v>43205</v>
      </c>
      <c r="D25" s="3">
        <v>43210</v>
      </c>
      <c r="E25" s="2" t="s">
        <v>49</v>
      </c>
      <c r="F25" s="2" t="s">
        <v>84</v>
      </c>
      <c r="G25" s="2" t="s">
        <v>85</v>
      </c>
      <c r="H25" s="2" t="s">
        <v>25</v>
      </c>
      <c r="I25" s="2" t="s">
        <v>26</v>
      </c>
      <c r="J25" s="2" t="s">
        <v>86</v>
      </c>
      <c r="K25" s="2" t="s">
        <v>87</v>
      </c>
      <c r="L25" s="2">
        <v>28027</v>
      </c>
      <c r="M25" s="2" t="s">
        <v>29</v>
      </c>
      <c r="N25" s="2" t="s">
        <v>88</v>
      </c>
      <c r="O25" s="2" t="s">
        <v>45</v>
      </c>
      <c r="P25" s="2" t="s">
        <v>89</v>
      </c>
      <c r="Q25" s="2" t="s">
        <v>90</v>
      </c>
      <c r="R25" s="2">
        <v>15.552000000000003</v>
      </c>
      <c r="S25" s="2">
        <v>3</v>
      </c>
      <c r="T25" s="2">
        <v>0.2</v>
      </c>
      <c r="U25" s="6">
        <v>5.4432</v>
      </c>
    </row>
    <row r="26" spans="1:21" x14ac:dyDescent="0.25">
      <c r="A26" s="5">
        <v>14</v>
      </c>
      <c r="B26" s="2" t="s">
        <v>91</v>
      </c>
      <c r="C26" s="3">
        <v>43074</v>
      </c>
      <c r="D26" s="3">
        <v>43079</v>
      </c>
      <c r="E26" s="2" t="s">
        <v>49</v>
      </c>
      <c r="F26" s="2" t="s">
        <v>92</v>
      </c>
      <c r="G26" s="2" t="s">
        <v>93</v>
      </c>
      <c r="H26" s="2" t="s">
        <v>25</v>
      </c>
      <c r="I26" s="2" t="s">
        <v>26</v>
      </c>
      <c r="J26" s="2" t="s">
        <v>94</v>
      </c>
      <c r="K26" s="2" t="s">
        <v>95</v>
      </c>
      <c r="L26" s="2">
        <v>98103</v>
      </c>
      <c r="M26" s="2" t="s">
        <v>43</v>
      </c>
      <c r="N26" s="2" t="s">
        <v>96</v>
      </c>
      <c r="O26" s="2" t="s">
        <v>45</v>
      </c>
      <c r="P26" s="2" t="s">
        <v>74</v>
      </c>
      <c r="Q26" s="2" t="s">
        <v>97</v>
      </c>
      <c r="R26" s="2">
        <v>407.97600000000006</v>
      </c>
      <c r="S26" s="2">
        <v>3</v>
      </c>
      <c r="T26" s="2">
        <v>0.2</v>
      </c>
      <c r="U26" s="6">
        <v>132.59219999999993</v>
      </c>
    </row>
    <row r="27" spans="1:21" x14ac:dyDescent="0.25">
      <c r="A27" s="5">
        <v>15</v>
      </c>
      <c r="B27" s="2" t="s">
        <v>98</v>
      </c>
      <c r="C27" s="3">
        <v>42696</v>
      </c>
      <c r="D27" s="3">
        <v>42700</v>
      </c>
      <c r="E27" s="2" t="s">
        <v>49</v>
      </c>
      <c r="F27" s="2" t="s">
        <v>99</v>
      </c>
      <c r="G27" s="2" t="s">
        <v>100</v>
      </c>
      <c r="H27" s="2" t="s">
        <v>101</v>
      </c>
      <c r="I27" s="2" t="s">
        <v>26</v>
      </c>
      <c r="J27" s="2" t="s">
        <v>102</v>
      </c>
      <c r="K27" s="2" t="s">
        <v>103</v>
      </c>
      <c r="L27" s="2">
        <v>76106</v>
      </c>
      <c r="M27" s="2" t="s">
        <v>104</v>
      </c>
      <c r="N27" s="2" t="s">
        <v>105</v>
      </c>
      <c r="O27" s="2" t="s">
        <v>45</v>
      </c>
      <c r="P27" s="2" t="s">
        <v>77</v>
      </c>
      <c r="Q27" s="2" t="s">
        <v>106</v>
      </c>
      <c r="R27" s="2">
        <v>68.809999999999988</v>
      </c>
      <c r="S27" s="2">
        <v>5</v>
      </c>
      <c r="T27" s="2">
        <v>0.8</v>
      </c>
      <c r="U27" s="6">
        <v>-123.858</v>
      </c>
    </row>
    <row r="28" spans="1:21" x14ac:dyDescent="0.25">
      <c r="A28" s="5">
        <v>16</v>
      </c>
      <c r="B28" s="2" t="s">
        <v>98</v>
      </c>
      <c r="C28" s="3">
        <v>42696</v>
      </c>
      <c r="D28" s="3">
        <v>42700</v>
      </c>
      <c r="E28" s="2" t="s">
        <v>49</v>
      </c>
      <c r="F28" s="2" t="s">
        <v>99</v>
      </c>
      <c r="G28" s="2" t="s">
        <v>100</v>
      </c>
      <c r="H28" s="2" t="s">
        <v>101</v>
      </c>
      <c r="I28" s="2" t="s">
        <v>26</v>
      </c>
      <c r="J28" s="2" t="s">
        <v>102</v>
      </c>
      <c r="K28" s="2" t="s">
        <v>103</v>
      </c>
      <c r="L28" s="2">
        <v>76106</v>
      </c>
      <c r="M28" s="2" t="s">
        <v>104</v>
      </c>
      <c r="N28" s="2" t="s">
        <v>107</v>
      </c>
      <c r="O28" s="2" t="s">
        <v>45</v>
      </c>
      <c r="P28" s="2" t="s">
        <v>74</v>
      </c>
      <c r="Q28" s="2" t="s">
        <v>108</v>
      </c>
      <c r="R28" s="2">
        <v>2.5439999999999996</v>
      </c>
      <c r="S28" s="2">
        <v>3</v>
      </c>
      <c r="T28" s="2">
        <v>0.8</v>
      </c>
      <c r="U28" s="6">
        <v>-3.8160000000000016</v>
      </c>
    </row>
    <row r="29" spans="1:21" x14ac:dyDescent="0.25">
      <c r="A29" s="5">
        <v>17</v>
      </c>
      <c r="B29" s="2" t="s">
        <v>109</v>
      </c>
      <c r="C29" s="3">
        <v>42319</v>
      </c>
      <c r="D29" s="3">
        <v>42326</v>
      </c>
      <c r="E29" s="2" t="s">
        <v>49</v>
      </c>
      <c r="F29" s="2" t="s">
        <v>110</v>
      </c>
      <c r="G29" s="2" t="s">
        <v>111</v>
      </c>
      <c r="H29" s="2" t="s">
        <v>25</v>
      </c>
      <c r="I29" s="2" t="s">
        <v>26</v>
      </c>
      <c r="J29" s="2" t="s">
        <v>112</v>
      </c>
      <c r="K29" s="2" t="s">
        <v>113</v>
      </c>
      <c r="L29" s="2">
        <v>53711</v>
      </c>
      <c r="M29" s="2" t="s">
        <v>104</v>
      </c>
      <c r="N29" s="2" t="s">
        <v>114</v>
      </c>
      <c r="O29" s="2" t="s">
        <v>45</v>
      </c>
      <c r="P29" s="2" t="s">
        <v>58</v>
      </c>
      <c r="Q29" s="2" t="s">
        <v>115</v>
      </c>
      <c r="R29" s="2">
        <v>665.88</v>
      </c>
      <c r="S29" s="2">
        <v>6</v>
      </c>
      <c r="T29" s="2">
        <v>0</v>
      </c>
      <c r="U29" s="6">
        <v>13.317599999999999</v>
      </c>
    </row>
    <row r="30" spans="1:21" x14ac:dyDescent="0.25">
      <c r="A30" s="5">
        <v>18</v>
      </c>
      <c r="B30" s="2" t="s">
        <v>116</v>
      </c>
      <c r="C30" s="3">
        <v>42137</v>
      </c>
      <c r="D30" s="3">
        <v>42139</v>
      </c>
      <c r="E30" s="2" t="s">
        <v>22</v>
      </c>
      <c r="F30" s="2" t="s">
        <v>117</v>
      </c>
      <c r="G30" s="2" t="s">
        <v>118</v>
      </c>
      <c r="H30" s="2" t="s">
        <v>25</v>
      </c>
      <c r="I30" s="2" t="s">
        <v>26</v>
      </c>
      <c r="J30" s="2" t="s">
        <v>119</v>
      </c>
      <c r="K30" s="2" t="s">
        <v>120</v>
      </c>
      <c r="L30" s="2">
        <v>84084</v>
      </c>
      <c r="M30" s="2" t="s">
        <v>43</v>
      </c>
      <c r="N30" s="2" t="s">
        <v>121</v>
      </c>
      <c r="O30" s="2" t="s">
        <v>45</v>
      </c>
      <c r="P30" s="2" t="s">
        <v>58</v>
      </c>
      <c r="Q30" s="2" t="s">
        <v>122</v>
      </c>
      <c r="R30" s="2">
        <v>55.5</v>
      </c>
      <c r="S30" s="2">
        <v>2</v>
      </c>
      <c r="T30" s="2">
        <v>0</v>
      </c>
      <c r="U30" s="6">
        <v>9.9899999999999949</v>
      </c>
    </row>
    <row r="31" spans="1:21" x14ac:dyDescent="0.25">
      <c r="A31" s="5">
        <v>19</v>
      </c>
      <c r="B31" s="2" t="s">
        <v>123</v>
      </c>
      <c r="C31" s="3">
        <v>42243</v>
      </c>
      <c r="D31" s="3">
        <v>42248</v>
      </c>
      <c r="E31" s="2" t="s">
        <v>22</v>
      </c>
      <c r="F31" s="2" t="s">
        <v>124</v>
      </c>
      <c r="G31" s="2" t="s">
        <v>125</v>
      </c>
      <c r="H31" s="2" t="s">
        <v>25</v>
      </c>
      <c r="I31" s="2" t="s">
        <v>26</v>
      </c>
      <c r="J31" s="2" t="s">
        <v>126</v>
      </c>
      <c r="K31" s="2" t="s">
        <v>42</v>
      </c>
      <c r="L31" s="2">
        <v>94109</v>
      </c>
      <c r="M31" s="2" t="s">
        <v>43</v>
      </c>
      <c r="N31" s="2" t="s">
        <v>127</v>
      </c>
      <c r="O31" s="2" t="s">
        <v>45</v>
      </c>
      <c r="P31" s="2" t="s">
        <v>67</v>
      </c>
      <c r="Q31" s="2" t="s">
        <v>128</v>
      </c>
      <c r="R31" s="2">
        <v>8.56</v>
      </c>
      <c r="S31" s="2">
        <v>2</v>
      </c>
      <c r="T31" s="2">
        <v>0</v>
      </c>
      <c r="U31" s="6">
        <v>2.4823999999999993</v>
      </c>
    </row>
    <row r="32" spans="1:21" x14ac:dyDescent="0.25">
      <c r="A32" s="5">
        <v>20</v>
      </c>
      <c r="B32" s="2" t="s">
        <v>123</v>
      </c>
      <c r="C32" s="3">
        <v>42243</v>
      </c>
      <c r="D32" s="3">
        <v>42248</v>
      </c>
      <c r="E32" s="2" t="s">
        <v>22</v>
      </c>
      <c r="F32" s="2" t="s">
        <v>124</v>
      </c>
      <c r="G32" s="2" t="s">
        <v>125</v>
      </c>
      <c r="H32" s="2" t="s">
        <v>25</v>
      </c>
      <c r="I32" s="2" t="s">
        <v>26</v>
      </c>
      <c r="J32" s="2" t="s">
        <v>126</v>
      </c>
      <c r="K32" s="2" t="s">
        <v>42</v>
      </c>
      <c r="L32" s="2">
        <v>94109</v>
      </c>
      <c r="M32" s="2" t="s">
        <v>43</v>
      </c>
      <c r="N32" s="2" t="s">
        <v>129</v>
      </c>
      <c r="O32" s="2" t="s">
        <v>70</v>
      </c>
      <c r="P32" s="2" t="s">
        <v>71</v>
      </c>
      <c r="Q32" s="2" t="s">
        <v>130</v>
      </c>
      <c r="R32" s="2">
        <v>213.48000000000002</v>
      </c>
      <c r="S32" s="2">
        <v>3</v>
      </c>
      <c r="T32" s="2">
        <v>0.2</v>
      </c>
      <c r="U32" s="6">
        <v>16.010999999999981</v>
      </c>
    </row>
    <row r="33" spans="1:21" x14ac:dyDescent="0.25">
      <c r="A33" s="5">
        <v>21</v>
      </c>
      <c r="B33" s="2" t="s">
        <v>123</v>
      </c>
      <c r="C33" s="3">
        <v>42243</v>
      </c>
      <c r="D33" s="3">
        <v>42248</v>
      </c>
      <c r="E33" s="2" t="s">
        <v>22</v>
      </c>
      <c r="F33" s="2" t="s">
        <v>124</v>
      </c>
      <c r="G33" s="2" t="s">
        <v>125</v>
      </c>
      <c r="H33" s="2" t="s">
        <v>25</v>
      </c>
      <c r="I33" s="2" t="s">
        <v>26</v>
      </c>
      <c r="J33" s="2" t="s">
        <v>126</v>
      </c>
      <c r="K33" s="2" t="s">
        <v>42</v>
      </c>
      <c r="L33" s="2">
        <v>94109</v>
      </c>
      <c r="M33" s="2" t="s">
        <v>43</v>
      </c>
      <c r="N33" s="2" t="s">
        <v>131</v>
      </c>
      <c r="O33" s="2" t="s">
        <v>45</v>
      </c>
      <c r="P33" s="2" t="s">
        <v>74</v>
      </c>
      <c r="Q33" s="2" t="s">
        <v>132</v>
      </c>
      <c r="R33" s="2">
        <v>22.72</v>
      </c>
      <c r="S33" s="2">
        <v>4</v>
      </c>
      <c r="T33" s="2">
        <v>0.2</v>
      </c>
      <c r="U33" s="6">
        <v>7.3839999999999986</v>
      </c>
    </row>
    <row r="34" spans="1:21" x14ac:dyDescent="0.25">
      <c r="A34" s="5">
        <v>22</v>
      </c>
      <c r="B34" s="2" t="s">
        <v>133</v>
      </c>
      <c r="C34" s="3">
        <v>43078</v>
      </c>
      <c r="D34" s="3">
        <v>43082</v>
      </c>
      <c r="E34" s="2" t="s">
        <v>49</v>
      </c>
      <c r="F34" s="2" t="s">
        <v>134</v>
      </c>
      <c r="G34" s="2" t="s">
        <v>135</v>
      </c>
      <c r="H34" s="2" t="s">
        <v>40</v>
      </c>
      <c r="I34" s="2" t="s">
        <v>26</v>
      </c>
      <c r="J34" s="2" t="s">
        <v>136</v>
      </c>
      <c r="K34" s="2" t="s">
        <v>137</v>
      </c>
      <c r="L34" s="2">
        <v>68025</v>
      </c>
      <c r="M34" s="2" t="s">
        <v>104</v>
      </c>
      <c r="N34" s="2" t="s">
        <v>138</v>
      </c>
      <c r="O34" s="2" t="s">
        <v>45</v>
      </c>
      <c r="P34" s="2" t="s">
        <v>67</v>
      </c>
      <c r="Q34" s="2" t="s">
        <v>139</v>
      </c>
      <c r="R34" s="2">
        <v>19.459999999999997</v>
      </c>
      <c r="S34" s="2">
        <v>7</v>
      </c>
      <c r="T34" s="2">
        <v>0</v>
      </c>
      <c r="U34" s="6">
        <v>5.0595999999999997</v>
      </c>
    </row>
    <row r="35" spans="1:21" x14ac:dyDescent="0.25">
      <c r="A35" s="5">
        <v>23</v>
      </c>
      <c r="B35" s="2" t="s">
        <v>133</v>
      </c>
      <c r="C35" s="3">
        <v>43078</v>
      </c>
      <c r="D35" s="3">
        <v>43082</v>
      </c>
      <c r="E35" s="2" t="s">
        <v>49</v>
      </c>
      <c r="F35" s="2" t="s">
        <v>134</v>
      </c>
      <c r="G35" s="2" t="s">
        <v>135</v>
      </c>
      <c r="H35" s="2" t="s">
        <v>40</v>
      </c>
      <c r="I35" s="2" t="s">
        <v>26</v>
      </c>
      <c r="J35" s="2" t="s">
        <v>136</v>
      </c>
      <c r="K35" s="2" t="s">
        <v>137</v>
      </c>
      <c r="L35" s="2">
        <v>68025</v>
      </c>
      <c r="M35" s="2" t="s">
        <v>104</v>
      </c>
      <c r="N35" s="2" t="s">
        <v>140</v>
      </c>
      <c r="O35" s="2" t="s">
        <v>45</v>
      </c>
      <c r="P35" s="2" t="s">
        <v>77</v>
      </c>
      <c r="Q35" s="2" t="s">
        <v>141</v>
      </c>
      <c r="R35" s="2">
        <v>60.339999999999996</v>
      </c>
      <c r="S35" s="2">
        <v>7</v>
      </c>
      <c r="T35" s="2">
        <v>0</v>
      </c>
      <c r="U35" s="6">
        <v>15.688400000000001</v>
      </c>
    </row>
    <row r="36" spans="1:21" x14ac:dyDescent="0.25">
      <c r="A36" s="5">
        <v>24</v>
      </c>
      <c r="B36" s="2" t="s">
        <v>142</v>
      </c>
      <c r="C36" s="3">
        <v>43297</v>
      </c>
      <c r="D36" s="3">
        <v>43299</v>
      </c>
      <c r="E36" s="2" t="s">
        <v>22</v>
      </c>
      <c r="F36" s="2" t="s">
        <v>143</v>
      </c>
      <c r="G36" s="2" t="s">
        <v>144</v>
      </c>
      <c r="H36" s="2" t="s">
        <v>25</v>
      </c>
      <c r="I36" s="2" t="s">
        <v>26</v>
      </c>
      <c r="J36" s="2" t="s">
        <v>145</v>
      </c>
      <c r="K36" s="2" t="s">
        <v>146</v>
      </c>
      <c r="L36" s="2">
        <v>19140</v>
      </c>
      <c r="M36" s="2" t="s">
        <v>147</v>
      </c>
      <c r="N36" s="2" t="s">
        <v>148</v>
      </c>
      <c r="O36" s="2" t="s">
        <v>31</v>
      </c>
      <c r="P36" s="2" t="s">
        <v>35</v>
      </c>
      <c r="Q36" s="2" t="s">
        <v>149</v>
      </c>
      <c r="R36" s="2">
        <v>71.371999999999986</v>
      </c>
      <c r="S36" s="2">
        <v>2</v>
      </c>
      <c r="T36" s="2">
        <v>0.3</v>
      </c>
      <c r="U36" s="6">
        <v>-1.0196000000000005</v>
      </c>
    </row>
    <row r="37" spans="1:21" x14ac:dyDescent="0.25">
      <c r="A37" s="5">
        <v>25</v>
      </c>
      <c r="B37" s="2" t="s">
        <v>150</v>
      </c>
      <c r="C37" s="3">
        <v>42638</v>
      </c>
      <c r="D37" s="3">
        <v>42643</v>
      </c>
      <c r="E37" s="2" t="s">
        <v>49</v>
      </c>
      <c r="F37" s="2" t="s">
        <v>151</v>
      </c>
      <c r="G37" s="2" t="s">
        <v>152</v>
      </c>
      <c r="H37" s="2" t="s">
        <v>25</v>
      </c>
      <c r="I37" s="2" t="s">
        <v>26</v>
      </c>
      <c r="J37" s="2" t="s">
        <v>153</v>
      </c>
      <c r="K37" s="2" t="s">
        <v>120</v>
      </c>
      <c r="L37" s="2">
        <v>84057</v>
      </c>
      <c r="M37" s="2" t="s">
        <v>43</v>
      </c>
      <c r="N37" s="2" t="s">
        <v>54</v>
      </c>
      <c r="O37" s="2" t="s">
        <v>31</v>
      </c>
      <c r="P37" s="2" t="s">
        <v>55</v>
      </c>
      <c r="Q37" s="2" t="s">
        <v>56</v>
      </c>
      <c r="R37" s="2">
        <v>1044.6299999999999</v>
      </c>
      <c r="S37" s="2">
        <v>3</v>
      </c>
      <c r="T37" s="2">
        <v>0</v>
      </c>
      <c r="U37" s="6">
        <v>240.26490000000001</v>
      </c>
    </row>
    <row r="38" spans="1:21" x14ac:dyDescent="0.25">
      <c r="A38" s="5">
        <v>26</v>
      </c>
      <c r="B38" s="2" t="s">
        <v>154</v>
      </c>
      <c r="C38" s="3">
        <v>42751</v>
      </c>
      <c r="D38" s="3">
        <v>42755</v>
      </c>
      <c r="E38" s="2" t="s">
        <v>22</v>
      </c>
      <c r="F38" s="2" t="s">
        <v>155</v>
      </c>
      <c r="G38" s="2" t="s">
        <v>156</v>
      </c>
      <c r="H38" s="2" t="s">
        <v>25</v>
      </c>
      <c r="I38" s="2" t="s">
        <v>26</v>
      </c>
      <c r="J38" s="2" t="s">
        <v>41</v>
      </c>
      <c r="K38" s="2" t="s">
        <v>42</v>
      </c>
      <c r="L38" s="2">
        <v>90049</v>
      </c>
      <c r="M38" s="2" t="s">
        <v>43</v>
      </c>
      <c r="N38" s="2" t="s">
        <v>157</v>
      </c>
      <c r="O38" s="2" t="s">
        <v>45</v>
      </c>
      <c r="P38" s="2" t="s">
        <v>74</v>
      </c>
      <c r="Q38" s="2" t="s">
        <v>158</v>
      </c>
      <c r="R38" s="2">
        <v>11.648000000000001</v>
      </c>
      <c r="S38" s="2">
        <v>2</v>
      </c>
      <c r="T38" s="2">
        <v>0.2</v>
      </c>
      <c r="U38" s="6">
        <v>4.2224000000000004</v>
      </c>
    </row>
    <row r="39" spans="1:21" x14ac:dyDescent="0.25">
      <c r="A39" s="5">
        <v>27</v>
      </c>
      <c r="B39" s="2" t="s">
        <v>154</v>
      </c>
      <c r="C39" s="3">
        <v>42751</v>
      </c>
      <c r="D39" s="3">
        <v>42755</v>
      </c>
      <c r="E39" s="2" t="s">
        <v>22</v>
      </c>
      <c r="F39" s="2" t="s">
        <v>155</v>
      </c>
      <c r="G39" s="2" t="s">
        <v>156</v>
      </c>
      <c r="H39" s="2" t="s">
        <v>25</v>
      </c>
      <c r="I39" s="2" t="s">
        <v>26</v>
      </c>
      <c r="J39" s="2" t="s">
        <v>41</v>
      </c>
      <c r="K39" s="2" t="s">
        <v>42</v>
      </c>
      <c r="L39" s="2">
        <v>90049</v>
      </c>
      <c r="M39" s="2" t="s">
        <v>43</v>
      </c>
      <c r="N39" s="2" t="s">
        <v>159</v>
      </c>
      <c r="O39" s="2" t="s">
        <v>70</v>
      </c>
      <c r="P39" s="2" t="s">
        <v>160</v>
      </c>
      <c r="Q39" s="2" t="s">
        <v>161</v>
      </c>
      <c r="R39" s="2">
        <v>90.570000000000007</v>
      </c>
      <c r="S39" s="2">
        <v>3</v>
      </c>
      <c r="T39" s="2">
        <v>0</v>
      </c>
      <c r="U39" s="6">
        <v>11.774100000000004</v>
      </c>
    </row>
    <row r="40" spans="1:21" x14ac:dyDescent="0.25">
      <c r="A40" s="5">
        <v>28</v>
      </c>
      <c r="B40" s="2" t="s">
        <v>162</v>
      </c>
      <c r="C40" s="3">
        <v>42630</v>
      </c>
      <c r="D40" s="3">
        <v>42634</v>
      </c>
      <c r="E40" s="2" t="s">
        <v>49</v>
      </c>
      <c r="F40" s="2" t="s">
        <v>163</v>
      </c>
      <c r="G40" s="2" t="s">
        <v>164</v>
      </c>
      <c r="H40" s="2" t="s">
        <v>25</v>
      </c>
      <c r="I40" s="2" t="s">
        <v>26</v>
      </c>
      <c r="J40" s="2" t="s">
        <v>145</v>
      </c>
      <c r="K40" s="2" t="s">
        <v>146</v>
      </c>
      <c r="L40" s="2">
        <v>19140</v>
      </c>
      <c r="M40" s="2" t="s">
        <v>147</v>
      </c>
      <c r="N40" s="2" t="s">
        <v>165</v>
      </c>
      <c r="O40" s="2" t="s">
        <v>31</v>
      </c>
      <c r="P40" s="2" t="s">
        <v>32</v>
      </c>
      <c r="Q40" s="2" t="s">
        <v>166</v>
      </c>
      <c r="R40" s="2">
        <v>3083.4300000000003</v>
      </c>
      <c r="S40" s="2">
        <v>7</v>
      </c>
      <c r="T40" s="2">
        <v>0.5</v>
      </c>
      <c r="U40" s="6">
        <v>-1665.0522000000001</v>
      </c>
    </row>
    <row r="41" spans="1:21" x14ac:dyDescent="0.25">
      <c r="A41" s="5">
        <v>29</v>
      </c>
      <c r="B41" s="2" t="s">
        <v>162</v>
      </c>
      <c r="C41" s="3">
        <v>42630</v>
      </c>
      <c r="D41" s="3">
        <v>42634</v>
      </c>
      <c r="E41" s="2" t="s">
        <v>49</v>
      </c>
      <c r="F41" s="2" t="s">
        <v>163</v>
      </c>
      <c r="G41" s="2" t="s">
        <v>164</v>
      </c>
      <c r="H41" s="2" t="s">
        <v>25</v>
      </c>
      <c r="I41" s="2" t="s">
        <v>26</v>
      </c>
      <c r="J41" s="2" t="s">
        <v>145</v>
      </c>
      <c r="K41" s="2" t="s">
        <v>146</v>
      </c>
      <c r="L41" s="2">
        <v>19140</v>
      </c>
      <c r="M41" s="2" t="s">
        <v>147</v>
      </c>
      <c r="N41" s="2" t="s">
        <v>167</v>
      </c>
      <c r="O41" s="2" t="s">
        <v>45</v>
      </c>
      <c r="P41" s="2" t="s">
        <v>74</v>
      </c>
      <c r="Q41" s="2" t="s">
        <v>168</v>
      </c>
      <c r="R41" s="2">
        <v>9.6180000000000021</v>
      </c>
      <c r="S41" s="2">
        <v>2</v>
      </c>
      <c r="T41" s="2">
        <v>0.7</v>
      </c>
      <c r="U41" s="6">
        <v>-7.0532000000000004</v>
      </c>
    </row>
    <row r="42" spans="1:21" x14ac:dyDescent="0.25">
      <c r="A42" s="5">
        <v>30</v>
      </c>
      <c r="B42" s="2" t="s">
        <v>162</v>
      </c>
      <c r="C42" s="3">
        <v>42630</v>
      </c>
      <c r="D42" s="3">
        <v>42634</v>
      </c>
      <c r="E42" s="2" t="s">
        <v>49</v>
      </c>
      <c r="F42" s="2" t="s">
        <v>163</v>
      </c>
      <c r="G42" s="2" t="s">
        <v>164</v>
      </c>
      <c r="H42" s="2" t="s">
        <v>25</v>
      </c>
      <c r="I42" s="2" t="s">
        <v>26</v>
      </c>
      <c r="J42" s="2" t="s">
        <v>145</v>
      </c>
      <c r="K42" s="2" t="s">
        <v>146</v>
      </c>
      <c r="L42" s="2">
        <v>19140</v>
      </c>
      <c r="M42" s="2" t="s">
        <v>147</v>
      </c>
      <c r="N42" s="2" t="s">
        <v>169</v>
      </c>
      <c r="O42" s="2" t="s">
        <v>31</v>
      </c>
      <c r="P42" s="2" t="s">
        <v>64</v>
      </c>
      <c r="Q42" s="2" t="s">
        <v>170</v>
      </c>
      <c r="R42" s="2">
        <v>124.20000000000002</v>
      </c>
      <c r="S42" s="2">
        <v>3</v>
      </c>
      <c r="T42" s="2">
        <v>0.2</v>
      </c>
      <c r="U42" s="6">
        <v>15.524999999999991</v>
      </c>
    </row>
    <row r="43" spans="1:21" x14ac:dyDescent="0.25">
      <c r="A43" s="5">
        <v>31</v>
      </c>
      <c r="B43" s="2" t="s">
        <v>162</v>
      </c>
      <c r="C43" s="3">
        <v>42630</v>
      </c>
      <c r="D43" s="3">
        <v>42634</v>
      </c>
      <c r="E43" s="2" t="s">
        <v>49</v>
      </c>
      <c r="F43" s="2" t="s">
        <v>163</v>
      </c>
      <c r="G43" s="2" t="s">
        <v>164</v>
      </c>
      <c r="H43" s="2" t="s">
        <v>25</v>
      </c>
      <c r="I43" s="2" t="s">
        <v>26</v>
      </c>
      <c r="J43" s="2" t="s">
        <v>145</v>
      </c>
      <c r="K43" s="2" t="s">
        <v>146</v>
      </c>
      <c r="L43" s="2">
        <v>19140</v>
      </c>
      <c r="M43" s="2" t="s">
        <v>147</v>
      </c>
      <c r="N43" s="2" t="s">
        <v>171</v>
      </c>
      <c r="O43" s="2" t="s">
        <v>45</v>
      </c>
      <c r="P43" s="2" t="s">
        <v>172</v>
      </c>
      <c r="Q43" s="2" t="s">
        <v>173</v>
      </c>
      <c r="R43" s="2">
        <v>3.2640000000000002</v>
      </c>
      <c r="S43" s="2">
        <v>2</v>
      </c>
      <c r="T43" s="2">
        <v>0.2</v>
      </c>
      <c r="U43" s="6">
        <v>1.1015999999999997</v>
      </c>
    </row>
    <row r="44" spans="1:21" x14ac:dyDescent="0.25">
      <c r="A44" s="5">
        <v>32</v>
      </c>
      <c r="B44" s="2" t="s">
        <v>162</v>
      </c>
      <c r="C44" s="3">
        <v>42630</v>
      </c>
      <c r="D44" s="3">
        <v>42634</v>
      </c>
      <c r="E44" s="2" t="s">
        <v>49</v>
      </c>
      <c r="F44" s="2" t="s">
        <v>163</v>
      </c>
      <c r="G44" s="2" t="s">
        <v>164</v>
      </c>
      <c r="H44" s="2" t="s">
        <v>25</v>
      </c>
      <c r="I44" s="2" t="s">
        <v>26</v>
      </c>
      <c r="J44" s="2" t="s">
        <v>145</v>
      </c>
      <c r="K44" s="2" t="s">
        <v>146</v>
      </c>
      <c r="L44" s="2">
        <v>19140</v>
      </c>
      <c r="M44" s="2" t="s">
        <v>147</v>
      </c>
      <c r="N44" s="2" t="s">
        <v>174</v>
      </c>
      <c r="O44" s="2" t="s">
        <v>45</v>
      </c>
      <c r="P44" s="2" t="s">
        <v>67</v>
      </c>
      <c r="Q44" s="2" t="s">
        <v>175</v>
      </c>
      <c r="R44" s="2">
        <v>86.304000000000002</v>
      </c>
      <c r="S44" s="2">
        <v>6</v>
      </c>
      <c r="T44" s="2">
        <v>0.2</v>
      </c>
      <c r="U44" s="6">
        <v>9.7091999999999885</v>
      </c>
    </row>
    <row r="45" spans="1:21" x14ac:dyDescent="0.25">
      <c r="A45" s="5">
        <v>33</v>
      </c>
      <c r="B45" s="2" t="s">
        <v>162</v>
      </c>
      <c r="C45" s="3">
        <v>42630</v>
      </c>
      <c r="D45" s="3">
        <v>42634</v>
      </c>
      <c r="E45" s="2" t="s">
        <v>49</v>
      </c>
      <c r="F45" s="2" t="s">
        <v>163</v>
      </c>
      <c r="G45" s="2" t="s">
        <v>164</v>
      </c>
      <c r="H45" s="2" t="s">
        <v>25</v>
      </c>
      <c r="I45" s="2" t="s">
        <v>26</v>
      </c>
      <c r="J45" s="2" t="s">
        <v>145</v>
      </c>
      <c r="K45" s="2" t="s">
        <v>146</v>
      </c>
      <c r="L45" s="2">
        <v>19140</v>
      </c>
      <c r="M45" s="2" t="s">
        <v>147</v>
      </c>
      <c r="N45" s="2" t="s">
        <v>176</v>
      </c>
      <c r="O45" s="2" t="s">
        <v>45</v>
      </c>
      <c r="P45" s="2" t="s">
        <v>74</v>
      </c>
      <c r="Q45" s="2" t="s">
        <v>177</v>
      </c>
      <c r="R45" s="2">
        <v>6.8580000000000014</v>
      </c>
      <c r="S45" s="2">
        <v>6</v>
      </c>
      <c r="T45" s="2">
        <v>0.7</v>
      </c>
      <c r="U45" s="6">
        <v>-5.7149999999999999</v>
      </c>
    </row>
    <row r="46" spans="1:21" x14ac:dyDescent="0.25">
      <c r="A46" s="5">
        <v>34</v>
      </c>
      <c r="B46" s="2" t="s">
        <v>162</v>
      </c>
      <c r="C46" s="3">
        <v>42630</v>
      </c>
      <c r="D46" s="3">
        <v>42634</v>
      </c>
      <c r="E46" s="2" t="s">
        <v>49</v>
      </c>
      <c r="F46" s="2" t="s">
        <v>163</v>
      </c>
      <c r="G46" s="2" t="s">
        <v>164</v>
      </c>
      <c r="H46" s="2" t="s">
        <v>25</v>
      </c>
      <c r="I46" s="2" t="s">
        <v>26</v>
      </c>
      <c r="J46" s="2" t="s">
        <v>145</v>
      </c>
      <c r="K46" s="2" t="s">
        <v>146</v>
      </c>
      <c r="L46" s="2">
        <v>19140</v>
      </c>
      <c r="M46" s="2" t="s">
        <v>147</v>
      </c>
      <c r="N46" s="2" t="s">
        <v>178</v>
      </c>
      <c r="O46" s="2" t="s">
        <v>45</v>
      </c>
      <c r="P46" s="2" t="s">
        <v>67</v>
      </c>
      <c r="Q46" s="2" t="s">
        <v>179</v>
      </c>
      <c r="R46" s="2">
        <v>15.76</v>
      </c>
      <c r="S46" s="2">
        <v>2</v>
      </c>
      <c r="T46" s="2">
        <v>0.2</v>
      </c>
      <c r="U46" s="6">
        <v>3.5460000000000007</v>
      </c>
    </row>
    <row r="47" spans="1:21" x14ac:dyDescent="0.25">
      <c r="A47" s="5">
        <v>35</v>
      </c>
      <c r="B47" s="2" t="s">
        <v>180</v>
      </c>
      <c r="C47" s="3">
        <v>43392</v>
      </c>
      <c r="D47" s="3">
        <v>43396</v>
      </c>
      <c r="E47" s="2" t="s">
        <v>22</v>
      </c>
      <c r="F47" s="2" t="s">
        <v>181</v>
      </c>
      <c r="G47" s="2" t="s">
        <v>182</v>
      </c>
      <c r="H47" s="2" t="s">
        <v>101</v>
      </c>
      <c r="I47" s="2" t="s">
        <v>26</v>
      </c>
      <c r="J47" s="2" t="s">
        <v>183</v>
      </c>
      <c r="K47" s="2" t="s">
        <v>103</v>
      </c>
      <c r="L47" s="2">
        <v>77095</v>
      </c>
      <c r="M47" s="2" t="s">
        <v>104</v>
      </c>
      <c r="N47" s="2" t="s">
        <v>184</v>
      </c>
      <c r="O47" s="2" t="s">
        <v>45</v>
      </c>
      <c r="P47" s="2" t="s">
        <v>89</v>
      </c>
      <c r="Q47" s="2" t="s">
        <v>185</v>
      </c>
      <c r="R47" s="2">
        <v>29.472000000000001</v>
      </c>
      <c r="S47" s="2">
        <v>3</v>
      </c>
      <c r="T47" s="2">
        <v>0.2</v>
      </c>
      <c r="U47" s="6">
        <v>9.9467999999999979</v>
      </c>
    </row>
    <row r="48" spans="1:21" x14ac:dyDescent="0.25">
      <c r="A48" s="5">
        <v>36</v>
      </c>
      <c r="B48" s="2" t="s">
        <v>186</v>
      </c>
      <c r="C48" s="3">
        <v>43077</v>
      </c>
      <c r="D48" s="3">
        <v>43079</v>
      </c>
      <c r="E48" s="2" t="s">
        <v>187</v>
      </c>
      <c r="F48" s="2" t="s">
        <v>188</v>
      </c>
      <c r="G48" s="2" t="s">
        <v>189</v>
      </c>
      <c r="H48" s="2" t="s">
        <v>40</v>
      </c>
      <c r="I48" s="2" t="s">
        <v>26</v>
      </c>
      <c r="J48" s="2" t="s">
        <v>190</v>
      </c>
      <c r="K48" s="2" t="s">
        <v>103</v>
      </c>
      <c r="L48" s="2">
        <v>75080</v>
      </c>
      <c r="M48" s="2" t="s">
        <v>104</v>
      </c>
      <c r="N48" s="2" t="s">
        <v>191</v>
      </c>
      <c r="O48" s="2" t="s">
        <v>70</v>
      </c>
      <c r="P48" s="2" t="s">
        <v>71</v>
      </c>
      <c r="Q48" s="2" t="s">
        <v>192</v>
      </c>
      <c r="R48" s="2">
        <v>1097.5440000000003</v>
      </c>
      <c r="S48" s="2">
        <v>7</v>
      </c>
      <c r="T48" s="2">
        <v>0.2</v>
      </c>
      <c r="U48" s="6">
        <v>123.47369999999989</v>
      </c>
    </row>
    <row r="49" spans="1:21" x14ac:dyDescent="0.25">
      <c r="A49" s="13"/>
      <c r="C49" s="3"/>
      <c r="D49" s="3"/>
      <c r="R49" s="4">
        <f>SUM(R13:R48)</f>
        <v>12918.261500000001</v>
      </c>
      <c r="S49" s="4">
        <f t="shared" ref="S49:U49" si="0">SUM(S13:S48)</f>
        <v>145</v>
      </c>
      <c r="T49" s="4">
        <f t="shared" si="0"/>
        <v>7.450000000000002</v>
      </c>
      <c r="U49" s="4">
        <f t="shared" si="0"/>
        <v>-990.36080000000027</v>
      </c>
    </row>
    <row r="50" spans="1:21" x14ac:dyDescent="0.25">
      <c r="R50" s="4">
        <f>AVERAGE(R13:R48)</f>
        <v>358.84059722222224</v>
      </c>
      <c r="S50" s="4">
        <f t="shared" ref="S50:U50" si="1">AVERAGE(S13:S48)</f>
        <v>4.0277777777777777</v>
      </c>
      <c r="T50" s="4">
        <f t="shared" si="1"/>
        <v>0.20694444444444449</v>
      </c>
      <c r="U50" s="4">
        <f t="shared" si="1"/>
        <v>-27.510022222222229</v>
      </c>
    </row>
    <row r="51" spans="1:21" x14ac:dyDescent="0.25">
      <c r="R51" s="4">
        <f>MIN(R13:R48)</f>
        <v>2.5439999999999996</v>
      </c>
      <c r="S51" s="4">
        <f t="shared" ref="S51:U51" si="2">MIN(S13:S48)</f>
        <v>2</v>
      </c>
      <c r="T51" s="4">
        <f t="shared" si="2"/>
        <v>0</v>
      </c>
      <c r="U51" s="4">
        <f t="shared" si="2"/>
        <v>-1665.0522000000001</v>
      </c>
    </row>
    <row r="52" spans="1:21" x14ac:dyDescent="0.25">
      <c r="R52" s="4">
        <f>MAX(R13:R48)</f>
        <v>3083.4300000000003</v>
      </c>
      <c r="S52" s="4">
        <f>MAX(S13:S48)</f>
        <v>9</v>
      </c>
      <c r="T52" s="4">
        <f t="shared" ref="T52:U52" si="3">MAX(T13:T48)</f>
        <v>0.8</v>
      </c>
      <c r="U52" s="4">
        <f t="shared" si="3"/>
        <v>240.26490000000001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619E-7A50-419C-BA12-36850FAAD77D}">
  <dimension ref="A1:AD37"/>
  <sheetViews>
    <sheetView tabSelected="1" topLeftCell="P1" zoomScale="85" zoomScaleNormal="85" workbookViewId="0">
      <selection activeCell="A3" sqref="A3"/>
    </sheetView>
  </sheetViews>
  <sheetFormatPr defaultColWidth="14.140625" defaultRowHeight="15" x14ac:dyDescent="0.25"/>
  <cols>
    <col min="1" max="1" width="11.5703125" style="4" bestFit="1" customWidth="1"/>
    <col min="2" max="2" width="15.140625" style="4" bestFit="1" customWidth="1"/>
    <col min="3" max="3" width="16.140625" style="4" bestFit="1" customWidth="1"/>
    <col min="4" max="4" width="14.28515625" style="4" bestFit="1" customWidth="1"/>
    <col min="5" max="5" width="15.28515625" style="4" bestFit="1" customWidth="1"/>
    <col min="6" max="6" width="17.5703125" style="4" bestFit="1" customWidth="1"/>
    <col min="7" max="7" width="21.7109375" style="4" bestFit="1" customWidth="1"/>
    <col min="8" max="8" width="13.28515625" style="4" bestFit="1" customWidth="1"/>
    <col min="9" max="9" width="13.7109375" style="4" bestFit="1" customWidth="1"/>
    <col min="10" max="10" width="15.7109375" style="4" customWidth="1"/>
    <col min="11" max="11" width="14.5703125" style="4" bestFit="1" customWidth="1"/>
    <col min="12" max="12" width="17" style="4" bestFit="1" customWidth="1"/>
    <col min="13" max="13" width="11.42578125" style="4" bestFit="1" customWidth="1"/>
    <col min="14" max="14" width="16.7109375" style="4" bestFit="1" customWidth="1"/>
    <col min="15" max="15" width="15.28515625" style="4" bestFit="1" customWidth="1"/>
    <col min="16" max="16" width="18.5703125" style="4" bestFit="1" customWidth="1"/>
    <col min="17" max="17" width="74.28515625" style="4" bestFit="1" customWidth="1"/>
    <col min="18" max="18" width="9.5703125" style="4" bestFit="1" customWidth="1"/>
    <col min="19" max="19" width="13.28515625" style="4" bestFit="1" customWidth="1"/>
    <col min="20" max="20" width="13.42578125" style="4" bestFit="1" customWidth="1"/>
    <col min="21" max="21" width="10.85546875" style="4" bestFit="1" customWidth="1"/>
    <col min="22" max="22" width="17.28515625" style="4" bestFit="1" customWidth="1"/>
    <col min="23" max="23" width="16.140625" style="4" bestFit="1" customWidth="1"/>
    <col min="24" max="24" width="20" style="4" bestFit="1" customWidth="1"/>
    <col min="25" max="25" width="13.5703125" style="4" bestFit="1" customWidth="1"/>
    <col min="26" max="26" width="21.140625" style="4" bestFit="1" customWidth="1"/>
    <col min="27" max="27" width="23.85546875" style="4" bestFit="1" customWidth="1"/>
    <col min="28" max="28" width="22.140625" style="4" bestFit="1" customWidth="1"/>
    <col min="29" max="29" width="19.42578125" style="4" bestFit="1" customWidth="1"/>
    <col min="30" max="30" width="15.28515625" style="4" customWidth="1"/>
    <col min="31" max="16384" width="14.140625" style="4"/>
  </cols>
  <sheetData>
    <row r="1" spans="1:30" s="1" customFormat="1" ht="18.75" x14ac:dyDescent="0.3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30" t="s">
        <v>211</v>
      </c>
      <c r="W1" s="30" t="s">
        <v>212</v>
      </c>
      <c r="X1" s="30" t="s">
        <v>213</v>
      </c>
      <c r="Y1" s="30" t="s">
        <v>214</v>
      </c>
      <c r="Z1" s="30" t="s">
        <v>215</v>
      </c>
      <c r="AA1" s="30" t="s">
        <v>216</v>
      </c>
      <c r="AB1" s="30" t="s">
        <v>218</v>
      </c>
      <c r="AC1" s="30" t="s">
        <v>217</v>
      </c>
      <c r="AD1" s="30" t="s">
        <v>219</v>
      </c>
    </row>
    <row r="2" spans="1:30" x14ac:dyDescent="0.25">
      <c r="A2" s="5">
        <v>1</v>
      </c>
      <c r="B2" s="2" t="s">
        <v>21</v>
      </c>
      <c r="C2" s="3">
        <v>43047</v>
      </c>
      <c r="D2" s="3">
        <v>43050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>
        <v>42420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</v>
      </c>
      <c r="R2" s="2">
        <v>261.95999999999998</v>
      </c>
      <c r="S2" s="2">
        <v>2</v>
      </c>
      <c r="T2" s="2">
        <v>0</v>
      </c>
      <c r="U2" s="6">
        <v>41.913600000000002</v>
      </c>
      <c r="V2" s="4" t="str">
        <f t="shared" ref="V2:V37" si="0">IF(U2&gt;=0,"Profit","Loss")</f>
        <v>Profit</v>
      </c>
      <c r="W2" s="4" t="str">
        <f t="shared" ref="W2:W37" si="1">IF(R2&gt;500,"High", "Low")</f>
        <v>Low</v>
      </c>
      <c r="X2" s="4" t="str">
        <f t="shared" ref="X2:X37" si="2">IF(T1&gt;0.5,"High Discount","Normal Discount")</f>
        <v>High Discount</v>
      </c>
      <c r="Y2" s="31" t="str">
        <f t="shared" ref="Y2:Y37" si="3">IF(AND(U2&lt;0,T2&gt;0.3),"High Risk", "Normal")</f>
        <v>Normal</v>
      </c>
      <c r="Z2" s="31" t="str">
        <f t="shared" ref="Z2:Z37" si="4">IF(U2&gt;100,"High Profit",IF(U2&gt;=0,"Low Profit", "Loss"))</f>
        <v>Low Profit</v>
      </c>
      <c r="AA2" s="31">
        <f t="shared" ref="AA2:AA37" si="5">COUNTIF(Y2:Y37, "High Profit")</f>
        <v>0</v>
      </c>
      <c r="AB2" s="31" t="str">
        <f t="shared" ref="AB2:AB37" si="6">IF(U2 &lt; -200, "⚠️ بررسی فوری: ضرر سنگین", "")</f>
        <v/>
      </c>
      <c r="AC2" s="31" t="str">
        <f t="shared" ref="AC2:AC37" si="7">IF(T2&gt;=0.5,"High Risk",IF(T2&gt;=0.3, "Medium Risk", "Low Risk"))</f>
        <v>Low Risk</v>
      </c>
      <c r="AD2" s="31" t="str">
        <f t="shared" ref="AD2:AD37" si="8">IF(AND(U2&lt;0,T2&gt;0.3), "High Risk", "Normal")</f>
        <v>Normal</v>
      </c>
    </row>
    <row r="3" spans="1:30" x14ac:dyDescent="0.25">
      <c r="A3" s="5">
        <v>2</v>
      </c>
      <c r="B3" s="2" t="s">
        <v>21</v>
      </c>
      <c r="C3" s="3">
        <v>43047</v>
      </c>
      <c r="D3" s="3">
        <v>43050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>
        <v>42420</v>
      </c>
      <c r="M3" s="2" t="s">
        <v>29</v>
      </c>
      <c r="N3" s="2" t="s">
        <v>34</v>
      </c>
      <c r="O3" s="2" t="s">
        <v>31</v>
      </c>
      <c r="P3" s="2" t="s">
        <v>35</v>
      </c>
      <c r="Q3" s="2" t="s">
        <v>36</v>
      </c>
      <c r="R3" s="2">
        <v>731.93999999999994</v>
      </c>
      <c r="S3" s="2">
        <v>3</v>
      </c>
      <c r="T3" s="2">
        <v>0</v>
      </c>
      <c r="U3" s="6">
        <v>219.58199999999997</v>
      </c>
      <c r="V3" s="4" t="str">
        <f t="shared" si="0"/>
        <v>Profit</v>
      </c>
      <c r="W3" s="4" t="str">
        <f t="shared" si="1"/>
        <v>High</v>
      </c>
      <c r="X3" s="4" t="str">
        <f t="shared" si="2"/>
        <v>Normal Discount</v>
      </c>
      <c r="Y3" s="31" t="str">
        <f t="shared" si="3"/>
        <v>Normal</v>
      </c>
      <c r="Z3" s="31" t="str">
        <f t="shared" si="4"/>
        <v>High Profit</v>
      </c>
      <c r="AA3" s="31">
        <f t="shared" si="5"/>
        <v>0</v>
      </c>
      <c r="AB3" s="31" t="str">
        <f t="shared" si="6"/>
        <v/>
      </c>
      <c r="AC3" s="31" t="str">
        <f t="shared" si="7"/>
        <v>Low Risk</v>
      </c>
      <c r="AD3" s="31" t="str">
        <f t="shared" si="8"/>
        <v>Normal</v>
      </c>
    </row>
    <row r="4" spans="1:30" x14ac:dyDescent="0.25">
      <c r="A4" s="5">
        <v>3</v>
      </c>
      <c r="B4" s="2" t="s">
        <v>37</v>
      </c>
      <c r="C4" s="3">
        <v>42898</v>
      </c>
      <c r="D4" s="3">
        <v>42902</v>
      </c>
      <c r="E4" s="2" t="s">
        <v>22</v>
      </c>
      <c r="F4" s="2" t="s">
        <v>38</v>
      </c>
      <c r="G4" s="2" t="s">
        <v>39</v>
      </c>
      <c r="H4" s="2" t="s">
        <v>40</v>
      </c>
      <c r="I4" s="2" t="s">
        <v>26</v>
      </c>
      <c r="J4" s="2" t="s">
        <v>41</v>
      </c>
      <c r="K4" s="2" t="s">
        <v>42</v>
      </c>
      <c r="L4" s="2">
        <v>90036</v>
      </c>
      <c r="M4" s="2" t="s">
        <v>43</v>
      </c>
      <c r="N4" s="2" t="s">
        <v>44</v>
      </c>
      <c r="O4" s="2" t="s">
        <v>45</v>
      </c>
      <c r="P4" s="2" t="s">
        <v>46</v>
      </c>
      <c r="Q4" s="2" t="s">
        <v>47</v>
      </c>
      <c r="R4" s="2">
        <v>14.62</v>
      </c>
      <c r="S4" s="2">
        <v>2</v>
      </c>
      <c r="T4" s="2">
        <v>0</v>
      </c>
      <c r="U4" s="6">
        <v>6.8713999999999995</v>
      </c>
      <c r="V4" s="4" t="str">
        <f t="shared" si="0"/>
        <v>Profit</v>
      </c>
      <c r="W4" s="4" t="str">
        <f t="shared" si="1"/>
        <v>Low</v>
      </c>
      <c r="X4" s="4" t="str">
        <f t="shared" si="2"/>
        <v>Normal Discount</v>
      </c>
      <c r="Y4" s="31" t="str">
        <f t="shared" si="3"/>
        <v>Normal</v>
      </c>
      <c r="Z4" s="31" t="str">
        <f t="shared" si="4"/>
        <v>Low Profit</v>
      </c>
      <c r="AA4" s="31">
        <f t="shared" si="5"/>
        <v>0</v>
      </c>
      <c r="AB4" s="31" t="str">
        <f t="shared" si="6"/>
        <v/>
      </c>
      <c r="AC4" s="31" t="str">
        <f t="shared" si="7"/>
        <v>Low Risk</v>
      </c>
      <c r="AD4" s="31" t="str">
        <f t="shared" si="8"/>
        <v>Normal</v>
      </c>
    </row>
    <row r="5" spans="1:30" x14ac:dyDescent="0.25">
      <c r="A5" s="5">
        <v>4</v>
      </c>
      <c r="B5" s="2" t="s">
        <v>48</v>
      </c>
      <c r="C5" s="3">
        <v>42654</v>
      </c>
      <c r="D5" s="3">
        <v>42661</v>
      </c>
      <c r="E5" s="2" t="s">
        <v>49</v>
      </c>
      <c r="F5" s="2" t="s">
        <v>50</v>
      </c>
      <c r="G5" s="2" t="s">
        <v>51</v>
      </c>
      <c r="H5" s="2" t="s">
        <v>25</v>
      </c>
      <c r="I5" s="2" t="s">
        <v>26</v>
      </c>
      <c r="J5" s="2" t="s">
        <v>52</v>
      </c>
      <c r="K5" s="2" t="s">
        <v>53</v>
      </c>
      <c r="L5" s="2">
        <v>33311</v>
      </c>
      <c r="M5" s="2" t="s">
        <v>29</v>
      </c>
      <c r="N5" s="2" t="s">
        <v>54</v>
      </c>
      <c r="O5" s="2" t="s">
        <v>31</v>
      </c>
      <c r="P5" s="2" t="s">
        <v>55</v>
      </c>
      <c r="Q5" s="2" t="s">
        <v>56</v>
      </c>
      <c r="R5" s="2">
        <v>957.57749999999999</v>
      </c>
      <c r="S5" s="2">
        <v>5</v>
      </c>
      <c r="T5" s="2">
        <v>0.45</v>
      </c>
      <c r="U5" s="6">
        <v>-383.03100000000006</v>
      </c>
      <c r="V5" s="4" t="str">
        <f t="shared" si="0"/>
        <v>Loss</v>
      </c>
      <c r="W5" s="4" t="str">
        <f t="shared" si="1"/>
        <v>High</v>
      </c>
      <c r="X5" s="4" t="str">
        <f t="shared" si="2"/>
        <v>Normal Discount</v>
      </c>
      <c r="Y5" s="31" t="str">
        <f t="shared" si="3"/>
        <v>High Risk</v>
      </c>
      <c r="Z5" s="31" t="str">
        <f t="shared" si="4"/>
        <v>Loss</v>
      </c>
      <c r="AA5" s="31">
        <f t="shared" si="5"/>
        <v>0</v>
      </c>
      <c r="AB5" s="31" t="str">
        <f t="shared" si="6"/>
        <v>⚠️ بررسی فوری: ضرر سنگین</v>
      </c>
      <c r="AC5" s="31" t="str">
        <f t="shared" si="7"/>
        <v>Medium Risk</v>
      </c>
      <c r="AD5" s="31" t="str">
        <f t="shared" si="8"/>
        <v>High Risk</v>
      </c>
    </row>
    <row r="6" spans="1:30" x14ac:dyDescent="0.25">
      <c r="A6" s="5">
        <v>5</v>
      </c>
      <c r="B6" s="2" t="s">
        <v>48</v>
      </c>
      <c r="C6" s="3">
        <v>42654</v>
      </c>
      <c r="D6" s="3">
        <v>42661</v>
      </c>
      <c r="E6" s="2" t="s">
        <v>49</v>
      </c>
      <c r="F6" s="2" t="s">
        <v>50</v>
      </c>
      <c r="G6" s="2" t="s">
        <v>51</v>
      </c>
      <c r="H6" s="2" t="s">
        <v>25</v>
      </c>
      <c r="I6" s="2" t="s">
        <v>26</v>
      </c>
      <c r="J6" s="2" t="s">
        <v>52</v>
      </c>
      <c r="K6" s="2" t="s">
        <v>53</v>
      </c>
      <c r="L6" s="2">
        <v>33311</v>
      </c>
      <c r="M6" s="2" t="s">
        <v>29</v>
      </c>
      <c r="N6" s="2" t="s">
        <v>57</v>
      </c>
      <c r="O6" s="2" t="s">
        <v>45</v>
      </c>
      <c r="P6" s="2" t="s">
        <v>58</v>
      </c>
      <c r="Q6" s="2" t="s">
        <v>59</v>
      </c>
      <c r="R6" s="2">
        <v>22.368000000000002</v>
      </c>
      <c r="S6" s="2">
        <v>2</v>
      </c>
      <c r="T6" s="2">
        <v>0.2</v>
      </c>
      <c r="U6" s="6">
        <v>2.5163999999999991</v>
      </c>
      <c r="V6" s="4" t="str">
        <f t="shared" si="0"/>
        <v>Profit</v>
      </c>
      <c r="W6" s="4" t="str">
        <f t="shared" si="1"/>
        <v>Low</v>
      </c>
      <c r="X6" s="4" t="str">
        <f t="shared" si="2"/>
        <v>Normal Discount</v>
      </c>
      <c r="Y6" s="31" t="str">
        <f t="shared" si="3"/>
        <v>Normal</v>
      </c>
      <c r="Z6" s="31" t="str">
        <f t="shared" si="4"/>
        <v>Low Profit</v>
      </c>
      <c r="AA6" s="31">
        <f t="shared" si="5"/>
        <v>0</v>
      </c>
      <c r="AB6" s="31" t="str">
        <f t="shared" si="6"/>
        <v/>
      </c>
      <c r="AC6" s="31" t="str">
        <f t="shared" si="7"/>
        <v>Low Risk</v>
      </c>
      <c r="AD6" s="31" t="str">
        <f t="shared" si="8"/>
        <v>Normal</v>
      </c>
    </row>
    <row r="7" spans="1:30" x14ac:dyDescent="0.25">
      <c r="A7" s="5">
        <v>6</v>
      </c>
      <c r="B7" s="2" t="s">
        <v>60</v>
      </c>
      <c r="C7" s="3">
        <v>42164</v>
      </c>
      <c r="D7" s="3">
        <v>42169</v>
      </c>
      <c r="E7" s="2" t="s">
        <v>49</v>
      </c>
      <c r="F7" s="2" t="s">
        <v>61</v>
      </c>
      <c r="G7" s="2" t="s">
        <v>62</v>
      </c>
      <c r="H7" s="2" t="s">
        <v>25</v>
      </c>
      <c r="I7" s="2" t="s">
        <v>26</v>
      </c>
      <c r="J7" s="2" t="s">
        <v>41</v>
      </c>
      <c r="K7" s="2" t="s">
        <v>42</v>
      </c>
      <c r="L7" s="2">
        <v>90032</v>
      </c>
      <c r="M7" s="2" t="s">
        <v>43</v>
      </c>
      <c r="N7" s="2" t="s">
        <v>63</v>
      </c>
      <c r="O7" s="2" t="s">
        <v>31</v>
      </c>
      <c r="P7" s="2" t="s">
        <v>64</v>
      </c>
      <c r="Q7" s="2" t="s">
        <v>65</v>
      </c>
      <c r="R7" s="2">
        <v>48.86</v>
      </c>
      <c r="S7" s="2">
        <v>7</v>
      </c>
      <c r="T7" s="2">
        <v>0</v>
      </c>
      <c r="U7" s="6">
        <v>14.169399999999996</v>
      </c>
      <c r="V7" s="4" t="str">
        <f t="shared" si="0"/>
        <v>Profit</v>
      </c>
      <c r="W7" s="4" t="str">
        <f t="shared" si="1"/>
        <v>Low</v>
      </c>
      <c r="X7" s="4" t="str">
        <f t="shared" si="2"/>
        <v>Normal Discount</v>
      </c>
      <c r="Y7" s="31" t="str">
        <f t="shared" si="3"/>
        <v>Normal</v>
      </c>
      <c r="Z7" s="31" t="str">
        <f t="shared" si="4"/>
        <v>Low Profit</v>
      </c>
      <c r="AA7" s="31">
        <f t="shared" si="5"/>
        <v>0</v>
      </c>
      <c r="AB7" s="31" t="str">
        <f t="shared" si="6"/>
        <v/>
      </c>
      <c r="AC7" s="31" t="str">
        <f t="shared" si="7"/>
        <v>Low Risk</v>
      </c>
      <c r="AD7" s="31" t="str">
        <f t="shared" si="8"/>
        <v>Normal</v>
      </c>
    </row>
    <row r="8" spans="1:30" x14ac:dyDescent="0.25">
      <c r="A8" s="5">
        <v>7</v>
      </c>
      <c r="B8" s="2" t="s">
        <v>60</v>
      </c>
      <c r="C8" s="3">
        <v>42164</v>
      </c>
      <c r="D8" s="3">
        <v>42169</v>
      </c>
      <c r="E8" s="2" t="s">
        <v>49</v>
      </c>
      <c r="F8" s="2" t="s">
        <v>61</v>
      </c>
      <c r="G8" s="2" t="s">
        <v>62</v>
      </c>
      <c r="H8" s="2" t="s">
        <v>25</v>
      </c>
      <c r="I8" s="2" t="s">
        <v>26</v>
      </c>
      <c r="J8" s="2" t="s">
        <v>41</v>
      </c>
      <c r="K8" s="2" t="s">
        <v>42</v>
      </c>
      <c r="L8" s="2">
        <v>90032</v>
      </c>
      <c r="M8" s="2" t="s">
        <v>43</v>
      </c>
      <c r="N8" s="2" t="s">
        <v>66</v>
      </c>
      <c r="O8" s="2" t="s">
        <v>45</v>
      </c>
      <c r="P8" s="2" t="s">
        <v>67</v>
      </c>
      <c r="Q8" s="2" t="s">
        <v>68</v>
      </c>
      <c r="R8" s="2">
        <v>7.28</v>
      </c>
      <c r="S8" s="2">
        <v>4</v>
      </c>
      <c r="T8" s="2">
        <v>0</v>
      </c>
      <c r="U8" s="6">
        <v>1.9656000000000002</v>
      </c>
      <c r="V8" s="4" t="str">
        <f t="shared" si="0"/>
        <v>Profit</v>
      </c>
      <c r="W8" s="4" t="str">
        <f t="shared" si="1"/>
        <v>Low</v>
      </c>
      <c r="X8" s="4" t="str">
        <f t="shared" si="2"/>
        <v>Normal Discount</v>
      </c>
      <c r="Y8" s="31" t="str">
        <f t="shared" si="3"/>
        <v>Normal</v>
      </c>
      <c r="Z8" s="31" t="str">
        <f t="shared" si="4"/>
        <v>Low Profit</v>
      </c>
      <c r="AA8" s="31">
        <f t="shared" si="5"/>
        <v>0</v>
      </c>
      <c r="AB8" s="31" t="str">
        <f t="shared" si="6"/>
        <v/>
      </c>
      <c r="AC8" s="31" t="str">
        <f t="shared" si="7"/>
        <v>Low Risk</v>
      </c>
      <c r="AD8" s="31" t="str">
        <f t="shared" si="8"/>
        <v>Normal</v>
      </c>
    </row>
    <row r="9" spans="1:30" x14ac:dyDescent="0.25">
      <c r="A9" s="5">
        <v>8</v>
      </c>
      <c r="B9" s="2" t="s">
        <v>60</v>
      </c>
      <c r="C9" s="3">
        <v>42164</v>
      </c>
      <c r="D9" s="3">
        <v>42169</v>
      </c>
      <c r="E9" s="2" t="s">
        <v>49</v>
      </c>
      <c r="F9" s="2" t="s">
        <v>61</v>
      </c>
      <c r="G9" s="2" t="s">
        <v>62</v>
      </c>
      <c r="H9" s="2" t="s">
        <v>25</v>
      </c>
      <c r="I9" s="2" t="s">
        <v>26</v>
      </c>
      <c r="J9" s="2" t="s">
        <v>41</v>
      </c>
      <c r="K9" s="2" t="s">
        <v>42</v>
      </c>
      <c r="L9" s="2">
        <v>90032</v>
      </c>
      <c r="M9" s="2" t="s">
        <v>43</v>
      </c>
      <c r="N9" s="2" t="s">
        <v>69</v>
      </c>
      <c r="O9" s="2" t="s">
        <v>70</v>
      </c>
      <c r="P9" s="2" t="s">
        <v>71</v>
      </c>
      <c r="Q9" s="2" t="s">
        <v>72</v>
      </c>
      <c r="R9" s="2">
        <v>907.15200000000004</v>
      </c>
      <c r="S9" s="2">
        <v>6</v>
      </c>
      <c r="T9" s="2">
        <v>0.2</v>
      </c>
      <c r="U9" s="6">
        <v>90.715200000000038</v>
      </c>
      <c r="V9" s="4" t="str">
        <f t="shared" si="0"/>
        <v>Profit</v>
      </c>
      <c r="W9" s="4" t="str">
        <f t="shared" si="1"/>
        <v>High</v>
      </c>
      <c r="X9" s="4" t="str">
        <f t="shared" si="2"/>
        <v>Normal Discount</v>
      </c>
      <c r="Y9" s="31" t="str">
        <f t="shared" si="3"/>
        <v>Normal</v>
      </c>
      <c r="Z9" s="31" t="str">
        <f t="shared" si="4"/>
        <v>Low Profit</v>
      </c>
      <c r="AA9" s="31">
        <f t="shared" si="5"/>
        <v>0</v>
      </c>
      <c r="AB9" s="31" t="str">
        <f t="shared" si="6"/>
        <v/>
      </c>
      <c r="AC9" s="31" t="str">
        <f t="shared" si="7"/>
        <v>Low Risk</v>
      </c>
      <c r="AD9" s="31" t="str">
        <f t="shared" si="8"/>
        <v>Normal</v>
      </c>
    </row>
    <row r="10" spans="1:30" x14ac:dyDescent="0.25">
      <c r="A10" s="5">
        <v>9</v>
      </c>
      <c r="B10" s="2" t="s">
        <v>60</v>
      </c>
      <c r="C10" s="3">
        <v>42164</v>
      </c>
      <c r="D10" s="3">
        <v>42169</v>
      </c>
      <c r="E10" s="2" t="s">
        <v>49</v>
      </c>
      <c r="F10" s="2" t="s">
        <v>61</v>
      </c>
      <c r="G10" s="2" t="s">
        <v>62</v>
      </c>
      <c r="H10" s="2" t="s">
        <v>25</v>
      </c>
      <c r="I10" s="2" t="s">
        <v>26</v>
      </c>
      <c r="J10" s="2" t="s">
        <v>41</v>
      </c>
      <c r="K10" s="2" t="s">
        <v>42</v>
      </c>
      <c r="L10" s="2">
        <v>90032</v>
      </c>
      <c r="M10" s="2" t="s">
        <v>43</v>
      </c>
      <c r="N10" s="2" t="s">
        <v>73</v>
      </c>
      <c r="O10" s="2" t="s">
        <v>45</v>
      </c>
      <c r="P10" s="2" t="s">
        <v>74</v>
      </c>
      <c r="Q10" s="2" t="s">
        <v>75</v>
      </c>
      <c r="R10" s="2">
        <v>18.504000000000001</v>
      </c>
      <c r="S10" s="2">
        <v>3</v>
      </c>
      <c r="T10" s="2">
        <v>0.2</v>
      </c>
      <c r="U10" s="6">
        <v>5.7824999999999998</v>
      </c>
      <c r="V10" s="4" t="str">
        <f t="shared" si="0"/>
        <v>Profit</v>
      </c>
      <c r="W10" s="4" t="str">
        <f t="shared" si="1"/>
        <v>Low</v>
      </c>
      <c r="X10" s="4" t="str">
        <f t="shared" si="2"/>
        <v>Normal Discount</v>
      </c>
      <c r="Y10" s="31" t="str">
        <f t="shared" si="3"/>
        <v>Normal</v>
      </c>
      <c r="Z10" s="31" t="str">
        <f t="shared" si="4"/>
        <v>Low Profit</v>
      </c>
      <c r="AA10" s="31">
        <f t="shared" si="5"/>
        <v>0</v>
      </c>
      <c r="AB10" s="31" t="str">
        <f t="shared" si="6"/>
        <v/>
      </c>
      <c r="AC10" s="31" t="str">
        <f t="shared" si="7"/>
        <v>Low Risk</v>
      </c>
      <c r="AD10" s="31" t="str">
        <f t="shared" si="8"/>
        <v>Normal</v>
      </c>
    </row>
    <row r="11" spans="1:30" x14ac:dyDescent="0.25">
      <c r="A11" s="5">
        <v>10</v>
      </c>
      <c r="B11" s="2" t="s">
        <v>60</v>
      </c>
      <c r="C11" s="3">
        <v>42164</v>
      </c>
      <c r="D11" s="3">
        <v>42169</v>
      </c>
      <c r="E11" s="2" t="s">
        <v>49</v>
      </c>
      <c r="F11" s="2" t="s">
        <v>61</v>
      </c>
      <c r="G11" s="2" t="s">
        <v>62</v>
      </c>
      <c r="H11" s="2" t="s">
        <v>25</v>
      </c>
      <c r="I11" s="2" t="s">
        <v>26</v>
      </c>
      <c r="J11" s="2" t="s">
        <v>41</v>
      </c>
      <c r="K11" s="2" t="s">
        <v>42</v>
      </c>
      <c r="L11" s="2">
        <v>90032</v>
      </c>
      <c r="M11" s="2" t="s">
        <v>43</v>
      </c>
      <c r="N11" s="2" t="s">
        <v>76</v>
      </c>
      <c r="O11" s="2" t="s">
        <v>45</v>
      </c>
      <c r="P11" s="2" t="s">
        <v>77</v>
      </c>
      <c r="Q11" s="2" t="s">
        <v>78</v>
      </c>
      <c r="R11" s="2">
        <v>114.9</v>
      </c>
      <c r="S11" s="2">
        <v>5</v>
      </c>
      <c r="T11" s="2">
        <v>0</v>
      </c>
      <c r="U11" s="6">
        <v>34.469999999999992</v>
      </c>
      <c r="V11" s="4" t="str">
        <f t="shared" si="0"/>
        <v>Profit</v>
      </c>
      <c r="W11" s="4" t="str">
        <f t="shared" si="1"/>
        <v>Low</v>
      </c>
      <c r="X11" s="4" t="str">
        <f t="shared" si="2"/>
        <v>Normal Discount</v>
      </c>
      <c r="Y11" s="31" t="str">
        <f t="shared" si="3"/>
        <v>Normal</v>
      </c>
      <c r="Z11" s="31" t="str">
        <f t="shared" si="4"/>
        <v>Low Profit</v>
      </c>
      <c r="AA11" s="31">
        <f t="shared" si="5"/>
        <v>0</v>
      </c>
      <c r="AB11" s="31" t="str">
        <f t="shared" si="6"/>
        <v/>
      </c>
      <c r="AC11" s="31" t="str">
        <f t="shared" si="7"/>
        <v>Low Risk</v>
      </c>
      <c r="AD11" s="31" t="str">
        <f t="shared" si="8"/>
        <v>Normal</v>
      </c>
    </row>
    <row r="12" spans="1:30" x14ac:dyDescent="0.25">
      <c r="A12" s="5">
        <v>11</v>
      </c>
      <c r="B12" s="2" t="s">
        <v>60</v>
      </c>
      <c r="C12" s="3">
        <v>42164</v>
      </c>
      <c r="D12" s="3">
        <v>42169</v>
      </c>
      <c r="E12" s="2" t="s">
        <v>49</v>
      </c>
      <c r="F12" s="2" t="s">
        <v>61</v>
      </c>
      <c r="G12" s="2" t="s">
        <v>62</v>
      </c>
      <c r="H12" s="2" t="s">
        <v>25</v>
      </c>
      <c r="I12" s="2" t="s">
        <v>26</v>
      </c>
      <c r="J12" s="2" t="s">
        <v>41</v>
      </c>
      <c r="K12" s="2" t="s">
        <v>42</v>
      </c>
      <c r="L12" s="2">
        <v>90032</v>
      </c>
      <c r="M12" s="2" t="s">
        <v>43</v>
      </c>
      <c r="N12" s="2" t="s">
        <v>79</v>
      </c>
      <c r="O12" s="2" t="s">
        <v>31</v>
      </c>
      <c r="P12" s="2" t="s">
        <v>55</v>
      </c>
      <c r="Q12" s="2" t="s">
        <v>80</v>
      </c>
      <c r="R12" s="2">
        <v>1706.1840000000002</v>
      </c>
      <c r="S12" s="2">
        <v>9</v>
      </c>
      <c r="T12" s="2">
        <v>0.2</v>
      </c>
      <c r="U12" s="6">
        <v>85.309199999999805</v>
      </c>
      <c r="V12" s="4" t="str">
        <f t="shared" si="0"/>
        <v>Profit</v>
      </c>
      <c r="W12" s="4" t="str">
        <f t="shared" si="1"/>
        <v>High</v>
      </c>
      <c r="X12" s="4" t="str">
        <f t="shared" si="2"/>
        <v>Normal Discount</v>
      </c>
      <c r="Y12" s="31" t="str">
        <f t="shared" si="3"/>
        <v>Normal</v>
      </c>
      <c r="Z12" s="31" t="str">
        <f t="shared" si="4"/>
        <v>Low Profit</v>
      </c>
      <c r="AA12" s="31">
        <f t="shared" si="5"/>
        <v>0</v>
      </c>
      <c r="AB12" s="31" t="str">
        <f t="shared" si="6"/>
        <v/>
      </c>
      <c r="AC12" s="31" t="str">
        <f t="shared" si="7"/>
        <v>Low Risk</v>
      </c>
      <c r="AD12" s="31" t="str">
        <f t="shared" si="8"/>
        <v>Normal</v>
      </c>
    </row>
    <row r="13" spans="1:30" x14ac:dyDescent="0.25">
      <c r="A13" s="5">
        <v>12</v>
      </c>
      <c r="B13" s="2" t="s">
        <v>60</v>
      </c>
      <c r="C13" s="3">
        <v>42164</v>
      </c>
      <c r="D13" s="3">
        <v>42169</v>
      </c>
      <c r="E13" s="2" t="s">
        <v>49</v>
      </c>
      <c r="F13" s="2" t="s">
        <v>61</v>
      </c>
      <c r="G13" s="2" t="s">
        <v>62</v>
      </c>
      <c r="H13" s="2" t="s">
        <v>25</v>
      </c>
      <c r="I13" s="2" t="s">
        <v>26</v>
      </c>
      <c r="J13" s="2" t="s">
        <v>41</v>
      </c>
      <c r="K13" s="2" t="s">
        <v>42</v>
      </c>
      <c r="L13" s="2">
        <v>90032</v>
      </c>
      <c r="M13" s="2" t="s">
        <v>43</v>
      </c>
      <c r="N13" s="2" t="s">
        <v>81</v>
      </c>
      <c r="O13" s="2" t="s">
        <v>70</v>
      </c>
      <c r="P13" s="2" t="s">
        <v>71</v>
      </c>
      <c r="Q13" s="2" t="s">
        <v>82</v>
      </c>
      <c r="R13" s="2">
        <v>911.42399999999998</v>
      </c>
      <c r="S13" s="2">
        <v>4</v>
      </c>
      <c r="T13" s="2">
        <v>0.2</v>
      </c>
      <c r="U13" s="6">
        <v>68.356800000000021</v>
      </c>
      <c r="V13" s="4" t="str">
        <f t="shared" si="0"/>
        <v>Profit</v>
      </c>
      <c r="W13" s="4" t="str">
        <f t="shared" si="1"/>
        <v>High</v>
      </c>
      <c r="X13" s="4" t="str">
        <f t="shared" si="2"/>
        <v>Normal Discount</v>
      </c>
      <c r="Y13" s="31" t="str">
        <f t="shared" si="3"/>
        <v>Normal</v>
      </c>
      <c r="Z13" s="31" t="str">
        <f t="shared" si="4"/>
        <v>Low Profit</v>
      </c>
      <c r="AA13" s="31">
        <f t="shared" si="5"/>
        <v>0</v>
      </c>
      <c r="AB13" s="31" t="str">
        <f t="shared" si="6"/>
        <v/>
      </c>
      <c r="AC13" s="31" t="str">
        <f t="shared" si="7"/>
        <v>Low Risk</v>
      </c>
      <c r="AD13" s="31" t="str">
        <f t="shared" si="8"/>
        <v>Normal</v>
      </c>
    </row>
    <row r="14" spans="1:30" x14ac:dyDescent="0.25">
      <c r="A14" s="5">
        <v>13</v>
      </c>
      <c r="B14" s="2" t="s">
        <v>83</v>
      </c>
      <c r="C14" s="3">
        <v>43205</v>
      </c>
      <c r="D14" s="3">
        <v>43210</v>
      </c>
      <c r="E14" s="2" t="s">
        <v>49</v>
      </c>
      <c r="F14" s="2" t="s">
        <v>84</v>
      </c>
      <c r="G14" s="2" t="s">
        <v>85</v>
      </c>
      <c r="H14" s="2" t="s">
        <v>25</v>
      </c>
      <c r="I14" s="2" t="s">
        <v>26</v>
      </c>
      <c r="J14" s="2" t="s">
        <v>86</v>
      </c>
      <c r="K14" s="2" t="s">
        <v>87</v>
      </c>
      <c r="L14" s="2">
        <v>28027</v>
      </c>
      <c r="M14" s="2" t="s">
        <v>29</v>
      </c>
      <c r="N14" s="2" t="s">
        <v>88</v>
      </c>
      <c r="O14" s="2" t="s">
        <v>45</v>
      </c>
      <c r="P14" s="2" t="s">
        <v>89</v>
      </c>
      <c r="Q14" s="2" t="s">
        <v>90</v>
      </c>
      <c r="R14" s="2">
        <v>15.552000000000003</v>
      </c>
      <c r="S14" s="2">
        <v>3</v>
      </c>
      <c r="T14" s="2">
        <v>0.2</v>
      </c>
      <c r="U14" s="6">
        <v>5.4432</v>
      </c>
      <c r="V14" s="4" t="str">
        <f t="shared" si="0"/>
        <v>Profit</v>
      </c>
      <c r="W14" s="4" t="str">
        <f t="shared" si="1"/>
        <v>Low</v>
      </c>
      <c r="X14" s="4" t="str">
        <f t="shared" si="2"/>
        <v>Normal Discount</v>
      </c>
      <c r="Y14" s="31" t="str">
        <f t="shared" si="3"/>
        <v>Normal</v>
      </c>
      <c r="Z14" s="31" t="str">
        <f t="shared" si="4"/>
        <v>Low Profit</v>
      </c>
      <c r="AA14" s="31">
        <f t="shared" si="5"/>
        <v>0</v>
      </c>
      <c r="AB14" s="31" t="str">
        <f t="shared" si="6"/>
        <v/>
      </c>
      <c r="AC14" s="31" t="str">
        <f t="shared" si="7"/>
        <v>Low Risk</v>
      </c>
      <c r="AD14" s="31" t="str">
        <f t="shared" si="8"/>
        <v>Normal</v>
      </c>
    </row>
    <row r="15" spans="1:30" x14ac:dyDescent="0.25">
      <c r="A15" s="5">
        <v>14</v>
      </c>
      <c r="B15" s="2" t="s">
        <v>91</v>
      </c>
      <c r="C15" s="3">
        <v>43074</v>
      </c>
      <c r="D15" s="3">
        <v>43079</v>
      </c>
      <c r="E15" s="2" t="s">
        <v>49</v>
      </c>
      <c r="F15" s="2" t="s">
        <v>92</v>
      </c>
      <c r="G15" s="2" t="s">
        <v>93</v>
      </c>
      <c r="H15" s="2" t="s">
        <v>25</v>
      </c>
      <c r="I15" s="2" t="s">
        <v>26</v>
      </c>
      <c r="J15" s="2" t="s">
        <v>94</v>
      </c>
      <c r="K15" s="2" t="s">
        <v>95</v>
      </c>
      <c r="L15" s="2">
        <v>98103</v>
      </c>
      <c r="M15" s="2" t="s">
        <v>43</v>
      </c>
      <c r="N15" s="2" t="s">
        <v>96</v>
      </c>
      <c r="O15" s="2" t="s">
        <v>45</v>
      </c>
      <c r="P15" s="2" t="s">
        <v>74</v>
      </c>
      <c r="Q15" s="2" t="s">
        <v>97</v>
      </c>
      <c r="R15" s="2">
        <v>407.97600000000006</v>
      </c>
      <c r="S15" s="2">
        <v>3</v>
      </c>
      <c r="T15" s="2">
        <v>0.2</v>
      </c>
      <c r="U15" s="6">
        <v>132.59219999999993</v>
      </c>
      <c r="V15" s="4" t="str">
        <f t="shared" si="0"/>
        <v>Profit</v>
      </c>
      <c r="W15" s="4" t="str">
        <f t="shared" si="1"/>
        <v>Low</v>
      </c>
      <c r="X15" s="4" t="str">
        <f t="shared" si="2"/>
        <v>Normal Discount</v>
      </c>
      <c r="Y15" s="31" t="str">
        <f t="shared" si="3"/>
        <v>Normal</v>
      </c>
      <c r="Z15" s="31" t="str">
        <f t="shared" si="4"/>
        <v>High Profit</v>
      </c>
      <c r="AA15" s="31">
        <f t="shared" si="5"/>
        <v>0</v>
      </c>
      <c r="AB15" s="31" t="str">
        <f t="shared" si="6"/>
        <v/>
      </c>
      <c r="AC15" s="31" t="str">
        <f t="shared" si="7"/>
        <v>Low Risk</v>
      </c>
      <c r="AD15" s="31" t="str">
        <f t="shared" si="8"/>
        <v>Normal</v>
      </c>
    </row>
    <row r="16" spans="1:30" x14ac:dyDescent="0.25">
      <c r="A16" s="5">
        <v>15</v>
      </c>
      <c r="B16" s="2" t="s">
        <v>98</v>
      </c>
      <c r="C16" s="3">
        <v>42696</v>
      </c>
      <c r="D16" s="3">
        <v>42700</v>
      </c>
      <c r="E16" s="2" t="s">
        <v>49</v>
      </c>
      <c r="F16" s="2" t="s">
        <v>99</v>
      </c>
      <c r="G16" s="2" t="s">
        <v>100</v>
      </c>
      <c r="H16" s="2" t="s">
        <v>101</v>
      </c>
      <c r="I16" s="2" t="s">
        <v>26</v>
      </c>
      <c r="J16" s="2" t="s">
        <v>102</v>
      </c>
      <c r="K16" s="2" t="s">
        <v>103</v>
      </c>
      <c r="L16" s="2">
        <v>76106</v>
      </c>
      <c r="M16" s="2" t="s">
        <v>104</v>
      </c>
      <c r="N16" s="2" t="s">
        <v>105</v>
      </c>
      <c r="O16" s="2" t="s">
        <v>45</v>
      </c>
      <c r="P16" s="2" t="s">
        <v>77</v>
      </c>
      <c r="Q16" s="2" t="s">
        <v>106</v>
      </c>
      <c r="R16" s="2">
        <v>68.809999999999988</v>
      </c>
      <c r="S16" s="2">
        <v>5</v>
      </c>
      <c r="T16" s="2">
        <v>0.8</v>
      </c>
      <c r="U16" s="6">
        <v>-123.858</v>
      </c>
      <c r="V16" s="4" t="str">
        <f t="shared" si="0"/>
        <v>Loss</v>
      </c>
      <c r="W16" s="4" t="str">
        <f t="shared" si="1"/>
        <v>Low</v>
      </c>
      <c r="X16" s="4" t="str">
        <f t="shared" si="2"/>
        <v>Normal Discount</v>
      </c>
      <c r="Y16" s="31" t="str">
        <f t="shared" si="3"/>
        <v>High Risk</v>
      </c>
      <c r="Z16" s="31" t="str">
        <f t="shared" si="4"/>
        <v>Loss</v>
      </c>
      <c r="AA16" s="31">
        <f t="shared" si="5"/>
        <v>0</v>
      </c>
      <c r="AB16" s="31" t="str">
        <f t="shared" si="6"/>
        <v/>
      </c>
      <c r="AC16" s="31" t="str">
        <f t="shared" si="7"/>
        <v>High Risk</v>
      </c>
      <c r="AD16" s="31" t="str">
        <f t="shared" si="8"/>
        <v>High Risk</v>
      </c>
    </row>
    <row r="17" spans="1:30" x14ac:dyDescent="0.25">
      <c r="A17" s="5">
        <v>16</v>
      </c>
      <c r="B17" s="2" t="s">
        <v>98</v>
      </c>
      <c r="C17" s="3">
        <v>42696</v>
      </c>
      <c r="D17" s="3">
        <v>42700</v>
      </c>
      <c r="E17" s="2" t="s">
        <v>49</v>
      </c>
      <c r="F17" s="2" t="s">
        <v>99</v>
      </c>
      <c r="G17" s="2" t="s">
        <v>100</v>
      </c>
      <c r="H17" s="2" t="s">
        <v>101</v>
      </c>
      <c r="I17" s="2" t="s">
        <v>26</v>
      </c>
      <c r="J17" s="2" t="s">
        <v>102</v>
      </c>
      <c r="K17" s="2" t="s">
        <v>103</v>
      </c>
      <c r="L17" s="2">
        <v>76106</v>
      </c>
      <c r="M17" s="2" t="s">
        <v>104</v>
      </c>
      <c r="N17" s="2" t="s">
        <v>107</v>
      </c>
      <c r="O17" s="2" t="s">
        <v>45</v>
      </c>
      <c r="P17" s="2" t="s">
        <v>74</v>
      </c>
      <c r="Q17" s="2" t="s">
        <v>108</v>
      </c>
      <c r="R17" s="2">
        <v>2.5439999999999996</v>
      </c>
      <c r="S17" s="2">
        <v>3</v>
      </c>
      <c r="T17" s="2">
        <v>0.8</v>
      </c>
      <c r="U17" s="6">
        <v>-3.8160000000000016</v>
      </c>
      <c r="V17" s="4" t="str">
        <f t="shared" si="0"/>
        <v>Loss</v>
      </c>
      <c r="W17" s="4" t="str">
        <f t="shared" si="1"/>
        <v>Low</v>
      </c>
      <c r="X17" s="4" t="str">
        <f t="shared" si="2"/>
        <v>High Discount</v>
      </c>
      <c r="Y17" s="31" t="str">
        <f t="shared" si="3"/>
        <v>High Risk</v>
      </c>
      <c r="Z17" s="31" t="str">
        <f t="shared" si="4"/>
        <v>Loss</v>
      </c>
      <c r="AA17" s="31">
        <f t="shared" si="5"/>
        <v>0</v>
      </c>
      <c r="AB17" s="31" t="str">
        <f t="shared" si="6"/>
        <v/>
      </c>
      <c r="AC17" s="31" t="str">
        <f t="shared" si="7"/>
        <v>High Risk</v>
      </c>
      <c r="AD17" s="31" t="str">
        <f t="shared" si="8"/>
        <v>High Risk</v>
      </c>
    </row>
    <row r="18" spans="1:30" x14ac:dyDescent="0.25">
      <c r="A18" s="5">
        <v>17</v>
      </c>
      <c r="B18" s="2" t="s">
        <v>109</v>
      </c>
      <c r="C18" s="3">
        <v>42319</v>
      </c>
      <c r="D18" s="3">
        <v>42326</v>
      </c>
      <c r="E18" s="2" t="s">
        <v>49</v>
      </c>
      <c r="F18" s="2" t="s">
        <v>110</v>
      </c>
      <c r="G18" s="2" t="s">
        <v>111</v>
      </c>
      <c r="H18" s="2" t="s">
        <v>25</v>
      </c>
      <c r="I18" s="2" t="s">
        <v>26</v>
      </c>
      <c r="J18" s="2" t="s">
        <v>112</v>
      </c>
      <c r="K18" s="2" t="s">
        <v>113</v>
      </c>
      <c r="L18" s="2">
        <v>53711</v>
      </c>
      <c r="M18" s="2" t="s">
        <v>104</v>
      </c>
      <c r="N18" s="2" t="s">
        <v>114</v>
      </c>
      <c r="O18" s="2" t="s">
        <v>45</v>
      </c>
      <c r="P18" s="2" t="s">
        <v>58</v>
      </c>
      <c r="Q18" s="2" t="s">
        <v>115</v>
      </c>
      <c r="R18" s="2">
        <v>665.88</v>
      </c>
      <c r="S18" s="2">
        <v>6</v>
      </c>
      <c r="T18" s="2">
        <v>0</v>
      </c>
      <c r="U18" s="6">
        <v>13.317599999999999</v>
      </c>
      <c r="V18" s="4" t="str">
        <f t="shared" si="0"/>
        <v>Profit</v>
      </c>
      <c r="W18" s="4" t="str">
        <f t="shared" si="1"/>
        <v>High</v>
      </c>
      <c r="X18" s="4" t="str">
        <f t="shared" si="2"/>
        <v>High Discount</v>
      </c>
      <c r="Y18" s="31" t="str">
        <f t="shared" si="3"/>
        <v>Normal</v>
      </c>
      <c r="Z18" s="31" t="str">
        <f t="shared" si="4"/>
        <v>Low Profit</v>
      </c>
      <c r="AA18" s="31">
        <f t="shared" si="5"/>
        <v>0</v>
      </c>
      <c r="AB18" s="31" t="str">
        <f t="shared" si="6"/>
        <v/>
      </c>
      <c r="AC18" s="31" t="str">
        <f t="shared" si="7"/>
        <v>Low Risk</v>
      </c>
      <c r="AD18" s="31" t="str">
        <f t="shared" si="8"/>
        <v>Normal</v>
      </c>
    </row>
    <row r="19" spans="1:30" x14ac:dyDescent="0.25">
      <c r="A19" s="5">
        <v>18</v>
      </c>
      <c r="B19" s="2" t="s">
        <v>116</v>
      </c>
      <c r="C19" s="3">
        <v>42137</v>
      </c>
      <c r="D19" s="3">
        <v>42139</v>
      </c>
      <c r="E19" s="2" t="s">
        <v>22</v>
      </c>
      <c r="F19" s="2" t="s">
        <v>117</v>
      </c>
      <c r="G19" s="2" t="s">
        <v>118</v>
      </c>
      <c r="H19" s="2" t="s">
        <v>25</v>
      </c>
      <c r="I19" s="2" t="s">
        <v>26</v>
      </c>
      <c r="J19" s="2" t="s">
        <v>119</v>
      </c>
      <c r="K19" s="2" t="s">
        <v>120</v>
      </c>
      <c r="L19" s="2">
        <v>84084</v>
      </c>
      <c r="M19" s="2" t="s">
        <v>43</v>
      </c>
      <c r="N19" s="2" t="s">
        <v>121</v>
      </c>
      <c r="O19" s="2" t="s">
        <v>45</v>
      </c>
      <c r="P19" s="2" t="s">
        <v>58</v>
      </c>
      <c r="Q19" s="2" t="s">
        <v>122</v>
      </c>
      <c r="R19" s="2">
        <v>55.5</v>
      </c>
      <c r="S19" s="2">
        <v>2</v>
      </c>
      <c r="T19" s="2">
        <v>0</v>
      </c>
      <c r="U19" s="6">
        <v>9.9899999999999949</v>
      </c>
      <c r="V19" s="4" t="str">
        <f t="shared" si="0"/>
        <v>Profit</v>
      </c>
      <c r="W19" s="4" t="str">
        <f t="shared" si="1"/>
        <v>Low</v>
      </c>
      <c r="X19" s="4" t="str">
        <f t="shared" si="2"/>
        <v>Normal Discount</v>
      </c>
      <c r="Y19" s="31" t="str">
        <f t="shared" si="3"/>
        <v>Normal</v>
      </c>
      <c r="Z19" s="31" t="str">
        <f t="shared" si="4"/>
        <v>Low Profit</v>
      </c>
      <c r="AA19" s="31">
        <f t="shared" si="5"/>
        <v>0</v>
      </c>
      <c r="AB19" s="31" t="str">
        <f t="shared" si="6"/>
        <v/>
      </c>
      <c r="AC19" s="31" t="str">
        <f t="shared" si="7"/>
        <v>Low Risk</v>
      </c>
      <c r="AD19" s="31" t="str">
        <f t="shared" si="8"/>
        <v>Normal</v>
      </c>
    </row>
    <row r="20" spans="1:30" x14ac:dyDescent="0.25">
      <c r="A20" s="5">
        <v>19</v>
      </c>
      <c r="B20" s="2" t="s">
        <v>123</v>
      </c>
      <c r="C20" s="3">
        <v>42243</v>
      </c>
      <c r="D20" s="3">
        <v>42248</v>
      </c>
      <c r="E20" s="2" t="s">
        <v>22</v>
      </c>
      <c r="F20" s="2" t="s">
        <v>124</v>
      </c>
      <c r="G20" s="2" t="s">
        <v>125</v>
      </c>
      <c r="H20" s="2" t="s">
        <v>25</v>
      </c>
      <c r="I20" s="2" t="s">
        <v>26</v>
      </c>
      <c r="J20" s="2" t="s">
        <v>126</v>
      </c>
      <c r="K20" s="2" t="s">
        <v>42</v>
      </c>
      <c r="L20" s="2">
        <v>94109</v>
      </c>
      <c r="M20" s="2" t="s">
        <v>43</v>
      </c>
      <c r="N20" s="2" t="s">
        <v>127</v>
      </c>
      <c r="O20" s="2" t="s">
        <v>45</v>
      </c>
      <c r="P20" s="2" t="s">
        <v>67</v>
      </c>
      <c r="Q20" s="2" t="s">
        <v>128</v>
      </c>
      <c r="R20" s="2">
        <v>8.56</v>
      </c>
      <c r="S20" s="2">
        <v>2</v>
      </c>
      <c r="T20" s="2">
        <v>0</v>
      </c>
      <c r="U20" s="6">
        <v>2.4823999999999993</v>
      </c>
      <c r="V20" s="4" t="str">
        <f t="shared" si="0"/>
        <v>Profit</v>
      </c>
      <c r="W20" s="4" t="str">
        <f t="shared" si="1"/>
        <v>Low</v>
      </c>
      <c r="X20" s="4" t="str">
        <f t="shared" si="2"/>
        <v>Normal Discount</v>
      </c>
      <c r="Y20" s="31" t="str">
        <f t="shared" si="3"/>
        <v>Normal</v>
      </c>
      <c r="Z20" s="31" t="str">
        <f t="shared" si="4"/>
        <v>Low Profit</v>
      </c>
      <c r="AA20" s="31">
        <f t="shared" si="5"/>
        <v>0</v>
      </c>
      <c r="AB20" s="31" t="str">
        <f t="shared" si="6"/>
        <v/>
      </c>
      <c r="AC20" s="31" t="str">
        <f t="shared" si="7"/>
        <v>Low Risk</v>
      </c>
      <c r="AD20" s="31" t="str">
        <f t="shared" si="8"/>
        <v>Normal</v>
      </c>
    </row>
    <row r="21" spans="1:30" x14ac:dyDescent="0.25">
      <c r="A21" s="5">
        <v>20</v>
      </c>
      <c r="B21" s="2" t="s">
        <v>123</v>
      </c>
      <c r="C21" s="3">
        <v>42243</v>
      </c>
      <c r="D21" s="3">
        <v>42248</v>
      </c>
      <c r="E21" s="2" t="s">
        <v>22</v>
      </c>
      <c r="F21" s="2" t="s">
        <v>124</v>
      </c>
      <c r="G21" s="2" t="s">
        <v>125</v>
      </c>
      <c r="H21" s="2" t="s">
        <v>25</v>
      </c>
      <c r="I21" s="2" t="s">
        <v>26</v>
      </c>
      <c r="J21" s="2" t="s">
        <v>126</v>
      </c>
      <c r="K21" s="2" t="s">
        <v>42</v>
      </c>
      <c r="L21" s="2">
        <v>94109</v>
      </c>
      <c r="M21" s="2" t="s">
        <v>43</v>
      </c>
      <c r="N21" s="2" t="s">
        <v>129</v>
      </c>
      <c r="O21" s="2" t="s">
        <v>70</v>
      </c>
      <c r="P21" s="2" t="s">
        <v>71</v>
      </c>
      <c r="Q21" s="2" t="s">
        <v>130</v>
      </c>
      <c r="R21" s="2">
        <v>213.48000000000002</v>
      </c>
      <c r="S21" s="2">
        <v>3</v>
      </c>
      <c r="T21" s="2">
        <v>0.2</v>
      </c>
      <c r="U21" s="6">
        <v>16.010999999999981</v>
      </c>
      <c r="V21" s="4" t="str">
        <f t="shared" si="0"/>
        <v>Profit</v>
      </c>
      <c r="W21" s="4" t="str">
        <f t="shared" si="1"/>
        <v>Low</v>
      </c>
      <c r="X21" s="4" t="str">
        <f t="shared" si="2"/>
        <v>Normal Discount</v>
      </c>
      <c r="Y21" s="31" t="str">
        <f t="shared" si="3"/>
        <v>Normal</v>
      </c>
      <c r="Z21" s="31" t="str">
        <f t="shared" si="4"/>
        <v>Low Profit</v>
      </c>
      <c r="AA21" s="31">
        <f t="shared" si="5"/>
        <v>0</v>
      </c>
      <c r="AB21" s="31" t="str">
        <f t="shared" si="6"/>
        <v/>
      </c>
      <c r="AC21" s="31" t="str">
        <f t="shared" si="7"/>
        <v>Low Risk</v>
      </c>
      <c r="AD21" s="31" t="str">
        <f t="shared" si="8"/>
        <v>Normal</v>
      </c>
    </row>
    <row r="22" spans="1:30" x14ac:dyDescent="0.25">
      <c r="A22" s="5">
        <v>21</v>
      </c>
      <c r="B22" s="2" t="s">
        <v>123</v>
      </c>
      <c r="C22" s="3">
        <v>42243</v>
      </c>
      <c r="D22" s="3">
        <v>42248</v>
      </c>
      <c r="E22" s="2" t="s">
        <v>22</v>
      </c>
      <c r="F22" s="2" t="s">
        <v>124</v>
      </c>
      <c r="G22" s="2" t="s">
        <v>125</v>
      </c>
      <c r="H22" s="2" t="s">
        <v>25</v>
      </c>
      <c r="I22" s="2" t="s">
        <v>26</v>
      </c>
      <c r="J22" s="2" t="s">
        <v>126</v>
      </c>
      <c r="K22" s="2" t="s">
        <v>42</v>
      </c>
      <c r="L22" s="2">
        <v>94109</v>
      </c>
      <c r="M22" s="2" t="s">
        <v>43</v>
      </c>
      <c r="N22" s="2" t="s">
        <v>131</v>
      </c>
      <c r="O22" s="2" t="s">
        <v>45</v>
      </c>
      <c r="P22" s="2" t="s">
        <v>74</v>
      </c>
      <c r="Q22" s="2" t="s">
        <v>132</v>
      </c>
      <c r="R22" s="2">
        <v>22.72</v>
      </c>
      <c r="S22" s="2">
        <v>4</v>
      </c>
      <c r="T22" s="2">
        <v>0.2</v>
      </c>
      <c r="U22" s="6">
        <v>7.3839999999999986</v>
      </c>
      <c r="V22" s="4" t="str">
        <f t="shared" si="0"/>
        <v>Profit</v>
      </c>
      <c r="W22" s="4" t="str">
        <f t="shared" si="1"/>
        <v>Low</v>
      </c>
      <c r="X22" s="4" t="str">
        <f t="shared" si="2"/>
        <v>Normal Discount</v>
      </c>
      <c r="Y22" s="31" t="str">
        <f t="shared" si="3"/>
        <v>Normal</v>
      </c>
      <c r="Z22" s="31" t="str">
        <f t="shared" si="4"/>
        <v>Low Profit</v>
      </c>
      <c r="AA22" s="31">
        <f t="shared" si="5"/>
        <v>0</v>
      </c>
      <c r="AB22" s="31" t="str">
        <f t="shared" si="6"/>
        <v/>
      </c>
      <c r="AC22" s="31" t="str">
        <f t="shared" si="7"/>
        <v>Low Risk</v>
      </c>
      <c r="AD22" s="31" t="str">
        <f t="shared" si="8"/>
        <v>Normal</v>
      </c>
    </row>
    <row r="23" spans="1:30" x14ac:dyDescent="0.25">
      <c r="A23" s="5">
        <v>22</v>
      </c>
      <c r="B23" s="2" t="s">
        <v>133</v>
      </c>
      <c r="C23" s="3">
        <v>43078</v>
      </c>
      <c r="D23" s="3">
        <v>43082</v>
      </c>
      <c r="E23" s="2" t="s">
        <v>49</v>
      </c>
      <c r="F23" s="2" t="s">
        <v>134</v>
      </c>
      <c r="G23" s="2" t="s">
        <v>135</v>
      </c>
      <c r="H23" s="2" t="s">
        <v>40</v>
      </c>
      <c r="I23" s="2" t="s">
        <v>26</v>
      </c>
      <c r="J23" s="2" t="s">
        <v>136</v>
      </c>
      <c r="K23" s="2" t="s">
        <v>137</v>
      </c>
      <c r="L23" s="2">
        <v>68025</v>
      </c>
      <c r="M23" s="2" t="s">
        <v>104</v>
      </c>
      <c r="N23" s="2" t="s">
        <v>138</v>
      </c>
      <c r="O23" s="2" t="s">
        <v>45</v>
      </c>
      <c r="P23" s="2" t="s">
        <v>67</v>
      </c>
      <c r="Q23" s="2" t="s">
        <v>139</v>
      </c>
      <c r="R23" s="2">
        <v>19.459999999999997</v>
      </c>
      <c r="S23" s="2">
        <v>7</v>
      </c>
      <c r="T23" s="2">
        <v>0</v>
      </c>
      <c r="U23" s="6">
        <v>5.0595999999999997</v>
      </c>
      <c r="V23" s="4" t="str">
        <f t="shared" si="0"/>
        <v>Profit</v>
      </c>
      <c r="W23" s="4" t="str">
        <f t="shared" si="1"/>
        <v>Low</v>
      </c>
      <c r="X23" s="4" t="str">
        <f t="shared" si="2"/>
        <v>Normal Discount</v>
      </c>
      <c r="Y23" s="31" t="str">
        <f t="shared" si="3"/>
        <v>Normal</v>
      </c>
      <c r="Z23" s="31" t="str">
        <f t="shared" si="4"/>
        <v>Low Profit</v>
      </c>
      <c r="AA23" s="31">
        <f t="shared" si="5"/>
        <v>0</v>
      </c>
      <c r="AB23" s="31" t="str">
        <f t="shared" si="6"/>
        <v/>
      </c>
      <c r="AC23" s="31" t="str">
        <f t="shared" si="7"/>
        <v>Low Risk</v>
      </c>
      <c r="AD23" s="31" t="str">
        <f t="shared" si="8"/>
        <v>Normal</v>
      </c>
    </row>
    <row r="24" spans="1:30" x14ac:dyDescent="0.25">
      <c r="A24" s="5">
        <v>23</v>
      </c>
      <c r="B24" s="2" t="s">
        <v>133</v>
      </c>
      <c r="C24" s="3">
        <v>43078</v>
      </c>
      <c r="D24" s="3">
        <v>43082</v>
      </c>
      <c r="E24" s="2" t="s">
        <v>49</v>
      </c>
      <c r="F24" s="2" t="s">
        <v>134</v>
      </c>
      <c r="G24" s="2" t="s">
        <v>135</v>
      </c>
      <c r="H24" s="2" t="s">
        <v>40</v>
      </c>
      <c r="I24" s="2" t="s">
        <v>26</v>
      </c>
      <c r="J24" s="2" t="s">
        <v>136</v>
      </c>
      <c r="K24" s="2" t="s">
        <v>137</v>
      </c>
      <c r="L24" s="2">
        <v>68025</v>
      </c>
      <c r="M24" s="2" t="s">
        <v>104</v>
      </c>
      <c r="N24" s="2" t="s">
        <v>140</v>
      </c>
      <c r="O24" s="2" t="s">
        <v>45</v>
      </c>
      <c r="P24" s="2" t="s">
        <v>77</v>
      </c>
      <c r="Q24" s="2" t="s">
        <v>141</v>
      </c>
      <c r="R24" s="2">
        <v>60.339999999999996</v>
      </c>
      <c r="S24" s="2">
        <v>7</v>
      </c>
      <c r="T24" s="2">
        <v>0</v>
      </c>
      <c r="U24" s="6">
        <v>15.688400000000001</v>
      </c>
      <c r="V24" s="4" t="str">
        <f t="shared" si="0"/>
        <v>Profit</v>
      </c>
      <c r="W24" s="4" t="str">
        <f t="shared" si="1"/>
        <v>Low</v>
      </c>
      <c r="X24" s="4" t="str">
        <f t="shared" si="2"/>
        <v>Normal Discount</v>
      </c>
      <c r="Y24" s="31" t="str">
        <f t="shared" si="3"/>
        <v>Normal</v>
      </c>
      <c r="Z24" s="31" t="str">
        <f t="shared" si="4"/>
        <v>Low Profit</v>
      </c>
      <c r="AA24" s="31">
        <f t="shared" si="5"/>
        <v>0</v>
      </c>
      <c r="AB24" s="31" t="str">
        <f t="shared" si="6"/>
        <v/>
      </c>
      <c r="AC24" s="31" t="str">
        <f t="shared" si="7"/>
        <v>Low Risk</v>
      </c>
      <c r="AD24" s="31" t="str">
        <f t="shared" si="8"/>
        <v>Normal</v>
      </c>
    </row>
    <row r="25" spans="1:30" x14ac:dyDescent="0.25">
      <c r="A25" s="5">
        <v>24</v>
      </c>
      <c r="B25" s="2" t="s">
        <v>142</v>
      </c>
      <c r="C25" s="3">
        <v>43297</v>
      </c>
      <c r="D25" s="3">
        <v>43299</v>
      </c>
      <c r="E25" s="2" t="s">
        <v>22</v>
      </c>
      <c r="F25" s="2" t="s">
        <v>143</v>
      </c>
      <c r="G25" s="2" t="s">
        <v>144</v>
      </c>
      <c r="H25" s="2" t="s">
        <v>25</v>
      </c>
      <c r="I25" s="2" t="s">
        <v>26</v>
      </c>
      <c r="J25" s="2" t="s">
        <v>145</v>
      </c>
      <c r="K25" s="2" t="s">
        <v>146</v>
      </c>
      <c r="L25" s="2">
        <v>19140</v>
      </c>
      <c r="M25" s="2" t="s">
        <v>147</v>
      </c>
      <c r="N25" s="2" t="s">
        <v>148</v>
      </c>
      <c r="O25" s="2" t="s">
        <v>31</v>
      </c>
      <c r="P25" s="2" t="s">
        <v>35</v>
      </c>
      <c r="Q25" s="2" t="s">
        <v>149</v>
      </c>
      <c r="R25" s="2">
        <v>71.371999999999986</v>
      </c>
      <c r="S25" s="2">
        <v>2</v>
      </c>
      <c r="T25" s="2">
        <v>0.3</v>
      </c>
      <c r="U25" s="6">
        <v>-1.0196000000000005</v>
      </c>
      <c r="V25" s="4" t="str">
        <f t="shared" si="0"/>
        <v>Loss</v>
      </c>
      <c r="W25" s="4" t="str">
        <f t="shared" si="1"/>
        <v>Low</v>
      </c>
      <c r="X25" s="4" t="str">
        <f t="shared" si="2"/>
        <v>Normal Discount</v>
      </c>
      <c r="Y25" s="31" t="str">
        <f t="shared" si="3"/>
        <v>Normal</v>
      </c>
      <c r="Z25" s="31" t="str">
        <f t="shared" si="4"/>
        <v>Loss</v>
      </c>
      <c r="AA25" s="31">
        <f t="shared" si="5"/>
        <v>0</v>
      </c>
      <c r="AB25" s="31" t="str">
        <f t="shared" si="6"/>
        <v/>
      </c>
      <c r="AC25" s="31" t="str">
        <f t="shared" si="7"/>
        <v>Medium Risk</v>
      </c>
      <c r="AD25" s="31" t="str">
        <f t="shared" si="8"/>
        <v>Normal</v>
      </c>
    </row>
    <row r="26" spans="1:30" x14ac:dyDescent="0.25">
      <c r="A26" s="5">
        <v>25</v>
      </c>
      <c r="B26" s="2" t="s">
        <v>150</v>
      </c>
      <c r="C26" s="3">
        <v>42638</v>
      </c>
      <c r="D26" s="3">
        <v>42643</v>
      </c>
      <c r="E26" s="2" t="s">
        <v>49</v>
      </c>
      <c r="F26" s="2" t="s">
        <v>151</v>
      </c>
      <c r="G26" s="2" t="s">
        <v>152</v>
      </c>
      <c r="H26" s="2" t="s">
        <v>25</v>
      </c>
      <c r="I26" s="2" t="s">
        <v>26</v>
      </c>
      <c r="J26" s="2" t="s">
        <v>153</v>
      </c>
      <c r="K26" s="2" t="s">
        <v>120</v>
      </c>
      <c r="L26" s="2">
        <v>84057</v>
      </c>
      <c r="M26" s="2" t="s">
        <v>43</v>
      </c>
      <c r="N26" s="2" t="s">
        <v>54</v>
      </c>
      <c r="O26" s="2" t="s">
        <v>31</v>
      </c>
      <c r="P26" s="2" t="s">
        <v>55</v>
      </c>
      <c r="Q26" s="2" t="s">
        <v>56</v>
      </c>
      <c r="R26" s="2">
        <v>1044.6299999999999</v>
      </c>
      <c r="S26" s="2">
        <v>3</v>
      </c>
      <c r="T26" s="2">
        <v>0</v>
      </c>
      <c r="U26" s="6">
        <v>240.26490000000001</v>
      </c>
      <c r="V26" s="4" t="str">
        <f t="shared" si="0"/>
        <v>Profit</v>
      </c>
      <c r="W26" s="4" t="str">
        <f t="shared" si="1"/>
        <v>High</v>
      </c>
      <c r="X26" s="4" t="str">
        <f t="shared" si="2"/>
        <v>Normal Discount</v>
      </c>
      <c r="Y26" s="31" t="str">
        <f t="shared" si="3"/>
        <v>Normal</v>
      </c>
      <c r="Z26" s="31" t="str">
        <f t="shared" si="4"/>
        <v>High Profit</v>
      </c>
      <c r="AA26" s="31">
        <f t="shared" si="5"/>
        <v>0</v>
      </c>
      <c r="AB26" s="31" t="str">
        <f t="shared" si="6"/>
        <v/>
      </c>
      <c r="AC26" s="31" t="str">
        <f t="shared" si="7"/>
        <v>Low Risk</v>
      </c>
      <c r="AD26" s="31" t="str">
        <f t="shared" si="8"/>
        <v>Normal</v>
      </c>
    </row>
    <row r="27" spans="1:30" x14ac:dyDescent="0.25">
      <c r="A27" s="5">
        <v>26</v>
      </c>
      <c r="B27" s="2" t="s">
        <v>154</v>
      </c>
      <c r="C27" s="3">
        <v>42751</v>
      </c>
      <c r="D27" s="3">
        <v>42755</v>
      </c>
      <c r="E27" s="2" t="s">
        <v>22</v>
      </c>
      <c r="F27" s="2" t="s">
        <v>155</v>
      </c>
      <c r="G27" s="2" t="s">
        <v>156</v>
      </c>
      <c r="H27" s="2" t="s">
        <v>25</v>
      </c>
      <c r="I27" s="2" t="s">
        <v>26</v>
      </c>
      <c r="J27" s="2" t="s">
        <v>41</v>
      </c>
      <c r="K27" s="2" t="s">
        <v>42</v>
      </c>
      <c r="L27" s="2">
        <v>90049</v>
      </c>
      <c r="M27" s="2" t="s">
        <v>43</v>
      </c>
      <c r="N27" s="2" t="s">
        <v>157</v>
      </c>
      <c r="O27" s="2" t="s">
        <v>45</v>
      </c>
      <c r="P27" s="2" t="s">
        <v>74</v>
      </c>
      <c r="Q27" s="2" t="s">
        <v>158</v>
      </c>
      <c r="R27" s="2">
        <v>11.648000000000001</v>
      </c>
      <c r="S27" s="2">
        <v>2</v>
      </c>
      <c r="T27" s="2">
        <v>0.2</v>
      </c>
      <c r="U27" s="6">
        <v>4.2224000000000004</v>
      </c>
      <c r="V27" s="4" t="str">
        <f t="shared" si="0"/>
        <v>Profit</v>
      </c>
      <c r="W27" s="4" t="str">
        <f t="shared" si="1"/>
        <v>Low</v>
      </c>
      <c r="X27" s="4" t="str">
        <f t="shared" si="2"/>
        <v>Normal Discount</v>
      </c>
      <c r="Y27" s="31" t="str">
        <f t="shared" si="3"/>
        <v>Normal</v>
      </c>
      <c r="Z27" s="31" t="str">
        <f t="shared" si="4"/>
        <v>Low Profit</v>
      </c>
      <c r="AA27" s="31">
        <f t="shared" si="5"/>
        <v>0</v>
      </c>
      <c r="AB27" s="31" t="str">
        <f t="shared" si="6"/>
        <v/>
      </c>
      <c r="AC27" s="31" t="str">
        <f t="shared" si="7"/>
        <v>Low Risk</v>
      </c>
      <c r="AD27" s="31" t="str">
        <f t="shared" si="8"/>
        <v>Normal</v>
      </c>
    </row>
    <row r="28" spans="1:30" x14ac:dyDescent="0.25">
      <c r="A28" s="5">
        <v>27</v>
      </c>
      <c r="B28" s="2" t="s">
        <v>154</v>
      </c>
      <c r="C28" s="3">
        <v>42751</v>
      </c>
      <c r="D28" s="3">
        <v>42755</v>
      </c>
      <c r="E28" s="2" t="s">
        <v>22</v>
      </c>
      <c r="F28" s="2" t="s">
        <v>155</v>
      </c>
      <c r="G28" s="2" t="s">
        <v>156</v>
      </c>
      <c r="H28" s="2" t="s">
        <v>25</v>
      </c>
      <c r="I28" s="2" t="s">
        <v>26</v>
      </c>
      <c r="J28" s="2" t="s">
        <v>41</v>
      </c>
      <c r="K28" s="2" t="s">
        <v>42</v>
      </c>
      <c r="L28" s="2">
        <v>90049</v>
      </c>
      <c r="M28" s="2" t="s">
        <v>43</v>
      </c>
      <c r="N28" s="2" t="s">
        <v>159</v>
      </c>
      <c r="O28" s="2" t="s">
        <v>70</v>
      </c>
      <c r="P28" s="2" t="s">
        <v>160</v>
      </c>
      <c r="Q28" s="2" t="s">
        <v>161</v>
      </c>
      <c r="R28" s="2">
        <v>90.570000000000007</v>
      </c>
      <c r="S28" s="2">
        <v>3</v>
      </c>
      <c r="T28" s="2">
        <v>0</v>
      </c>
      <c r="U28" s="6">
        <v>11.774100000000004</v>
      </c>
      <c r="V28" s="4" t="str">
        <f t="shared" si="0"/>
        <v>Profit</v>
      </c>
      <c r="W28" s="4" t="str">
        <f t="shared" si="1"/>
        <v>Low</v>
      </c>
      <c r="X28" s="4" t="str">
        <f t="shared" si="2"/>
        <v>Normal Discount</v>
      </c>
      <c r="Y28" s="31" t="str">
        <f t="shared" si="3"/>
        <v>Normal</v>
      </c>
      <c r="Z28" s="31" t="str">
        <f t="shared" si="4"/>
        <v>Low Profit</v>
      </c>
      <c r="AA28" s="31">
        <f t="shared" si="5"/>
        <v>0</v>
      </c>
      <c r="AB28" s="31" t="str">
        <f t="shared" si="6"/>
        <v/>
      </c>
      <c r="AC28" s="31" t="str">
        <f t="shared" si="7"/>
        <v>Low Risk</v>
      </c>
      <c r="AD28" s="31" t="str">
        <f t="shared" si="8"/>
        <v>Normal</v>
      </c>
    </row>
    <row r="29" spans="1:30" x14ac:dyDescent="0.25">
      <c r="A29" s="5">
        <v>28</v>
      </c>
      <c r="B29" s="2" t="s">
        <v>162</v>
      </c>
      <c r="C29" s="3">
        <v>42630</v>
      </c>
      <c r="D29" s="3">
        <v>42634</v>
      </c>
      <c r="E29" s="2" t="s">
        <v>49</v>
      </c>
      <c r="F29" s="2" t="s">
        <v>163</v>
      </c>
      <c r="G29" s="2" t="s">
        <v>164</v>
      </c>
      <c r="H29" s="2" t="s">
        <v>25</v>
      </c>
      <c r="I29" s="2" t="s">
        <v>26</v>
      </c>
      <c r="J29" s="2" t="s">
        <v>145</v>
      </c>
      <c r="K29" s="2" t="s">
        <v>146</v>
      </c>
      <c r="L29" s="2">
        <v>19140</v>
      </c>
      <c r="M29" s="2" t="s">
        <v>147</v>
      </c>
      <c r="N29" s="2" t="s">
        <v>165</v>
      </c>
      <c r="O29" s="2" t="s">
        <v>31</v>
      </c>
      <c r="P29" s="2" t="s">
        <v>32</v>
      </c>
      <c r="Q29" s="2" t="s">
        <v>166</v>
      </c>
      <c r="R29" s="2">
        <v>3083.4300000000003</v>
      </c>
      <c r="S29" s="2">
        <v>7</v>
      </c>
      <c r="T29" s="2">
        <v>0.5</v>
      </c>
      <c r="U29" s="6">
        <v>-1665.0522000000001</v>
      </c>
      <c r="V29" s="4" t="str">
        <f t="shared" si="0"/>
        <v>Loss</v>
      </c>
      <c r="W29" s="4" t="str">
        <f t="shared" si="1"/>
        <v>High</v>
      </c>
      <c r="X29" s="4" t="str">
        <f t="shared" si="2"/>
        <v>Normal Discount</v>
      </c>
      <c r="Y29" s="31" t="str">
        <f t="shared" si="3"/>
        <v>High Risk</v>
      </c>
      <c r="Z29" s="31" t="str">
        <f t="shared" si="4"/>
        <v>Loss</v>
      </c>
      <c r="AA29" s="31">
        <f t="shared" si="5"/>
        <v>0</v>
      </c>
      <c r="AB29" s="31" t="str">
        <f t="shared" si="6"/>
        <v>⚠️ بررسی فوری: ضرر سنگین</v>
      </c>
      <c r="AC29" s="31" t="str">
        <f t="shared" si="7"/>
        <v>High Risk</v>
      </c>
      <c r="AD29" s="31" t="str">
        <f t="shared" si="8"/>
        <v>High Risk</v>
      </c>
    </row>
    <row r="30" spans="1:30" x14ac:dyDescent="0.25">
      <c r="A30" s="5">
        <v>29</v>
      </c>
      <c r="B30" s="2" t="s">
        <v>162</v>
      </c>
      <c r="C30" s="3">
        <v>42630</v>
      </c>
      <c r="D30" s="3">
        <v>42634</v>
      </c>
      <c r="E30" s="2" t="s">
        <v>49</v>
      </c>
      <c r="F30" s="2" t="s">
        <v>163</v>
      </c>
      <c r="G30" s="2" t="s">
        <v>164</v>
      </c>
      <c r="H30" s="2" t="s">
        <v>25</v>
      </c>
      <c r="I30" s="2" t="s">
        <v>26</v>
      </c>
      <c r="J30" s="2" t="s">
        <v>145</v>
      </c>
      <c r="K30" s="2" t="s">
        <v>146</v>
      </c>
      <c r="L30" s="2">
        <v>19140</v>
      </c>
      <c r="M30" s="2" t="s">
        <v>147</v>
      </c>
      <c r="N30" s="2" t="s">
        <v>167</v>
      </c>
      <c r="O30" s="2" t="s">
        <v>45</v>
      </c>
      <c r="P30" s="2" t="s">
        <v>74</v>
      </c>
      <c r="Q30" s="2" t="s">
        <v>168</v>
      </c>
      <c r="R30" s="2">
        <v>9.6180000000000021</v>
      </c>
      <c r="S30" s="2">
        <v>2</v>
      </c>
      <c r="T30" s="2">
        <v>0.7</v>
      </c>
      <c r="U30" s="6">
        <v>-7.0532000000000004</v>
      </c>
      <c r="V30" s="4" t="str">
        <f t="shared" si="0"/>
        <v>Loss</v>
      </c>
      <c r="W30" s="4" t="str">
        <f t="shared" si="1"/>
        <v>Low</v>
      </c>
      <c r="X30" s="4" t="str">
        <f t="shared" si="2"/>
        <v>Normal Discount</v>
      </c>
      <c r="Y30" s="31" t="str">
        <f t="shared" si="3"/>
        <v>High Risk</v>
      </c>
      <c r="Z30" s="31" t="str">
        <f t="shared" si="4"/>
        <v>Loss</v>
      </c>
      <c r="AA30" s="31">
        <f t="shared" si="5"/>
        <v>0</v>
      </c>
      <c r="AB30" s="31" t="str">
        <f t="shared" si="6"/>
        <v/>
      </c>
      <c r="AC30" s="31" t="str">
        <f t="shared" si="7"/>
        <v>High Risk</v>
      </c>
      <c r="AD30" s="31" t="str">
        <f t="shared" si="8"/>
        <v>High Risk</v>
      </c>
    </row>
    <row r="31" spans="1:30" x14ac:dyDescent="0.25">
      <c r="A31" s="5">
        <v>30</v>
      </c>
      <c r="B31" s="2" t="s">
        <v>162</v>
      </c>
      <c r="C31" s="3">
        <v>42630</v>
      </c>
      <c r="D31" s="3">
        <v>42634</v>
      </c>
      <c r="E31" s="2" t="s">
        <v>49</v>
      </c>
      <c r="F31" s="2" t="s">
        <v>163</v>
      </c>
      <c r="G31" s="2" t="s">
        <v>164</v>
      </c>
      <c r="H31" s="2" t="s">
        <v>25</v>
      </c>
      <c r="I31" s="2" t="s">
        <v>26</v>
      </c>
      <c r="J31" s="2" t="s">
        <v>145</v>
      </c>
      <c r="K31" s="2" t="s">
        <v>146</v>
      </c>
      <c r="L31" s="2">
        <v>19140</v>
      </c>
      <c r="M31" s="2" t="s">
        <v>147</v>
      </c>
      <c r="N31" s="2" t="s">
        <v>169</v>
      </c>
      <c r="O31" s="2" t="s">
        <v>31</v>
      </c>
      <c r="P31" s="2" t="s">
        <v>64</v>
      </c>
      <c r="Q31" s="2" t="s">
        <v>170</v>
      </c>
      <c r="R31" s="2">
        <v>124.20000000000002</v>
      </c>
      <c r="S31" s="2">
        <v>3</v>
      </c>
      <c r="T31" s="2">
        <v>0.2</v>
      </c>
      <c r="U31" s="6">
        <v>15.524999999999991</v>
      </c>
      <c r="V31" s="4" t="str">
        <f t="shared" si="0"/>
        <v>Profit</v>
      </c>
      <c r="W31" s="4" t="str">
        <f t="shared" si="1"/>
        <v>Low</v>
      </c>
      <c r="X31" s="4" t="str">
        <f t="shared" si="2"/>
        <v>High Discount</v>
      </c>
      <c r="Y31" s="31" t="str">
        <f t="shared" si="3"/>
        <v>Normal</v>
      </c>
      <c r="Z31" s="31" t="str">
        <f t="shared" si="4"/>
        <v>Low Profit</v>
      </c>
      <c r="AA31" s="31">
        <f t="shared" si="5"/>
        <v>0</v>
      </c>
      <c r="AB31" s="31" t="str">
        <f t="shared" si="6"/>
        <v/>
      </c>
      <c r="AC31" s="31" t="str">
        <f t="shared" si="7"/>
        <v>Low Risk</v>
      </c>
      <c r="AD31" s="31" t="str">
        <f t="shared" si="8"/>
        <v>Normal</v>
      </c>
    </row>
    <row r="32" spans="1:30" x14ac:dyDescent="0.25">
      <c r="A32" s="5">
        <v>31</v>
      </c>
      <c r="B32" s="2" t="s">
        <v>162</v>
      </c>
      <c r="C32" s="3">
        <v>42630</v>
      </c>
      <c r="D32" s="3">
        <v>42634</v>
      </c>
      <c r="E32" s="2" t="s">
        <v>49</v>
      </c>
      <c r="F32" s="2" t="s">
        <v>163</v>
      </c>
      <c r="G32" s="2" t="s">
        <v>164</v>
      </c>
      <c r="H32" s="2" t="s">
        <v>25</v>
      </c>
      <c r="I32" s="2" t="s">
        <v>26</v>
      </c>
      <c r="J32" s="2" t="s">
        <v>145</v>
      </c>
      <c r="K32" s="2" t="s">
        <v>146</v>
      </c>
      <c r="L32" s="2">
        <v>19140</v>
      </c>
      <c r="M32" s="2" t="s">
        <v>147</v>
      </c>
      <c r="N32" s="2" t="s">
        <v>171</v>
      </c>
      <c r="O32" s="2" t="s">
        <v>45</v>
      </c>
      <c r="P32" s="2" t="s">
        <v>172</v>
      </c>
      <c r="Q32" s="2" t="s">
        <v>173</v>
      </c>
      <c r="R32" s="2">
        <v>3.2640000000000002</v>
      </c>
      <c r="S32" s="2">
        <v>2</v>
      </c>
      <c r="T32" s="2">
        <v>0.2</v>
      </c>
      <c r="U32" s="6">
        <v>1.1015999999999997</v>
      </c>
      <c r="V32" s="4" t="str">
        <f t="shared" si="0"/>
        <v>Profit</v>
      </c>
      <c r="W32" s="4" t="str">
        <f t="shared" si="1"/>
        <v>Low</v>
      </c>
      <c r="X32" s="4" t="str">
        <f t="shared" si="2"/>
        <v>Normal Discount</v>
      </c>
      <c r="Y32" s="31" t="str">
        <f t="shared" si="3"/>
        <v>Normal</v>
      </c>
      <c r="Z32" s="31" t="str">
        <f t="shared" si="4"/>
        <v>Low Profit</v>
      </c>
      <c r="AA32" s="31">
        <f t="shared" si="5"/>
        <v>0</v>
      </c>
      <c r="AB32" s="31" t="str">
        <f t="shared" si="6"/>
        <v/>
      </c>
      <c r="AC32" s="31" t="str">
        <f t="shared" si="7"/>
        <v>Low Risk</v>
      </c>
      <c r="AD32" s="31" t="str">
        <f t="shared" si="8"/>
        <v>Normal</v>
      </c>
    </row>
    <row r="33" spans="1:30" x14ac:dyDescent="0.25">
      <c r="A33" s="5">
        <v>32</v>
      </c>
      <c r="B33" s="2" t="s">
        <v>162</v>
      </c>
      <c r="C33" s="3">
        <v>42630</v>
      </c>
      <c r="D33" s="3">
        <v>42634</v>
      </c>
      <c r="E33" s="2" t="s">
        <v>49</v>
      </c>
      <c r="F33" s="2" t="s">
        <v>163</v>
      </c>
      <c r="G33" s="2" t="s">
        <v>164</v>
      </c>
      <c r="H33" s="2" t="s">
        <v>25</v>
      </c>
      <c r="I33" s="2" t="s">
        <v>26</v>
      </c>
      <c r="J33" s="2" t="s">
        <v>145</v>
      </c>
      <c r="K33" s="2" t="s">
        <v>146</v>
      </c>
      <c r="L33" s="2">
        <v>19140</v>
      </c>
      <c r="M33" s="2" t="s">
        <v>147</v>
      </c>
      <c r="N33" s="2" t="s">
        <v>174</v>
      </c>
      <c r="O33" s="2" t="s">
        <v>45</v>
      </c>
      <c r="P33" s="2" t="s">
        <v>67</v>
      </c>
      <c r="Q33" s="2" t="s">
        <v>175</v>
      </c>
      <c r="R33" s="2">
        <v>86.304000000000002</v>
      </c>
      <c r="S33" s="2">
        <v>6</v>
      </c>
      <c r="T33" s="2">
        <v>0.2</v>
      </c>
      <c r="U33" s="6">
        <v>9.7091999999999885</v>
      </c>
      <c r="V33" s="4" t="str">
        <f t="shared" si="0"/>
        <v>Profit</v>
      </c>
      <c r="W33" s="4" t="str">
        <f t="shared" si="1"/>
        <v>Low</v>
      </c>
      <c r="X33" s="4" t="str">
        <f t="shared" si="2"/>
        <v>Normal Discount</v>
      </c>
      <c r="Y33" s="31" t="str">
        <f t="shared" si="3"/>
        <v>Normal</v>
      </c>
      <c r="Z33" s="31" t="str">
        <f t="shared" si="4"/>
        <v>Low Profit</v>
      </c>
      <c r="AA33" s="31">
        <f t="shared" si="5"/>
        <v>0</v>
      </c>
      <c r="AB33" s="31" t="str">
        <f t="shared" si="6"/>
        <v/>
      </c>
      <c r="AC33" s="31" t="str">
        <f t="shared" si="7"/>
        <v>Low Risk</v>
      </c>
      <c r="AD33" s="31" t="str">
        <f t="shared" si="8"/>
        <v>Normal</v>
      </c>
    </row>
    <row r="34" spans="1:30" x14ac:dyDescent="0.25">
      <c r="A34" s="5">
        <v>33</v>
      </c>
      <c r="B34" s="2" t="s">
        <v>162</v>
      </c>
      <c r="C34" s="3">
        <v>42630</v>
      </c>
      <c r="D34" s="3">
        <v>42634</v>
      </c>
      <c r="E34" s="2" t="s">
        <v>49</v>
      </c>
      <c r="F34" s="2" t="s">
        <v>163</v>
      </c>
      <c r="G34" s="2" t="s">
        <v>164</v>
      </c>
      <c r="H34" s="2" t="s">
        <v>25</v>
      </c>
      <c r="I34" s="2" t="s">
        <v>26</v>
      </c>
      <c r="J34" s="2" t="s">
        <v>145</v>
      </c>
      <c r="K34" s="2" t="s">
        <v>146</v>
      </c>
      <c r="L34" s="2">
        <v>19140</v>
      </c>
      <c r="M34" s="2" t="s">
        <v>147</v>
      </c>
      <c r="N34" s="2" t="s">
        <v>176</v>
      </c>
      <c r="O34" s="2" t="s">
        <v>45</v>
      </c>
      <c r="P34" s="2" t="s">
        <v>74</v>
      </c>
      <c r="Q34" s="2" t="s">
        <v>177</v>
      </c>
      <c r="R34" s="2">
        <v>6.8580000000000014</v>
      </c>
      <c r="S34" s="2">
        <v>6</v>
      </c>
      <c r="T34" s="2">
        <v>0.7</v>
      </c>
      <c r="U34" s="6">
        <v>-5.7149999999999999</v>
      </c>
      <c r="V34" s="4" t="str">
        <f t="shared" si="0"/>
        <v>Loss</v>
      </c>
      <c r="W34" s="4" t="str">
        <f t="shared" si="1"/>
        <v>Low</v>
      </c>
      <c r="X34" s="4" t="str">
        <f t="shared" si="2"/>
        <v>Normal Discount</v>
      </c>
      <c r="Y34" s="31" t="str">
        <f t="shared" si="3"/>
        <v>High Risk</v>
      </c>
      <c r="Z34" s="31" t="str">
        <f t="shared" si="4"/>
        <v>Loss</v>
      </c>
      <c r="AA34" s="31">
        <f t="shared" si="5"/>
        <v>0</v>
      </c>
      <c r="AB34" s="31" t="str">
        <f t="shared" si="6"/>
        <v/>
      </c>
      <c r="AC34" s="31" t="str">
        <f t="shared" si="7"/>
        <v>High Risk</v>
      </c>
      <c r="AD34" s="31" t="str">
        <f t="shared" si="8"/>
        <v>High Risk</v>
      </c>
    </row>
    <row r="35" spans="1:30" x14ac:dyDescent="0.25">
      <c r="A35" s="5">
        <v>34</v>
      </c>
      <c r="B35" s="2" t="s">
        <v>162</v>
      </c>
      <c r="C35" s="3">
        <v>42630</v>
      </c>
      <c r="D35" s="3">
        <v>42634</v>
      </c>
      <c r="E35" s="2" t="s">
        <v>49</v>
      </c>
      <c r="F35" s="2" t="s">
        <v>163</v>
      </c>
      <c r="G35" s="2" t="s">
        <v>164</v>
      </c>
      <c r="H35" s="2" t="s">
        <v>25</v>
      </c>
      <c r="I35" s="2" t="s">
        <v>26</v>
      </c>
      <c r="J35" s="2" t="s">
        <v>145</v>
      </c>
      <c r="K35" s="2" t="s">
        <v>146</v>
      </c>
      <c r="L35" s="2">
        <v>19140</v>
      </c>
      <c r="M35" s="2" t="s">
        <v>147</v>
      </c>
      <c r="N35" s="2" t="s">
        <v>178</v>
      </c>
      <c r="O35" s="2" t="s">
        <v>45</v>
      </c>
      <c r="P35" s="2" t="s">
        <v>67</v>
      </c>
      <c r="Q35" s="2" t="s">
        <v>179</v>
      </c>
      <c r="R35" s="2">
        <v>15.76</v>
      </c>
      <c r="S35" s="2">
        <v>2</v>
      </c>
      <c r="T35" s="2">
        <v>0.2</v>
      </c>
      <c r="U35" s="6">
        <v>3.5460000000000007</v>
      </c>
      <c r="V35" s="4" t="str">
        <f t="shared" si="0"/>
        <v>Profit</v>
      </c>
      <c r="W35" s="4" t="str">
        <f t="shared" si="1"/>
        <v>Low</v>
      </c>
      <c r="X35" s="4" t="str">
        <f t="shared" si="2"/>
        <v>High Discount</v>
      </c>
      <c r="Y35" s="31" t="str">
        <f t="shared" si="3"/>
        <v>Normal</v>
      </c>
      <c r="Z35" s="31" t="str">
        <f t="shared" si="4"/>
        <v>Low Profit</v>
      </c>
      <c r="AA35" s="31">
        <f t="shared" si="5"/>
        <v>0</v>
      </c>
      <c r="AB35" s="31" t="str">
        <f t="shared" si="6"/>
        <v/>
      </c>
      <c r="AC35" s="31" t="str">
        <f t="shared" si="7"/>
        <v>Low Risk</v>
      </c>
      <c r="AD35" s="31" t="str">
        <f t="shared" si="8"/>
        <v>Normal</v>
      </c>
    </row>
    <row r="36" spans="1:30" x14ac:dyDescent="0.25">
      <c r="A36" s="5">
        <v>35</v>
      </c>
      <c r="B36" s="2" t="s">
        <v>180</v>
      </c>
      <c r="C36" s="3">
        <v>43392</v>
      </c>
      <c r="D36" s="3">
        <v>43396</v>
      </c>
      <c r="E36" s="2" t="s">
        <v>22</v>
      </c>
      <c r="F36" s="2" t="s">
        <v>181</v>
      </c>
      <c r="G36" s="2" t="s">
        <v>182</v>
      </c>
      <c r="H36" s="2" t="s">
        <v>101</v>
      </c>
      <c r="I36" s="2" t="s">
        <v>26</v>
      </c>
      <c r="J36" s="2" t="s">
        <v>183</v>
      </c>
      <c r="K36" s="2" t="s">
        <v>103</v>
      </c>
      <c r="L36" s="2">
        <v>77095</v>
      </c>
      <c r="M36" s="2" t="s">
        <v>104</v>
      </c>
      <c r="N36" s="2" t="s">
        <v>184</v>
      </c>
      <c r="O36" s="2" t="s">
        <v>45</v>
      </c>
      <c r="P36" s="2" t="s">
        <v>89</v>
      </c>
      <c r="Q36" s="2" t="s">
        <v>185</v>
      </c>
      <c r="R36" s="2">
        <v>29.472000000000001</v>
      </c>
      <c r="S36" s="2">
        <v>3</v>
      </c>
      <c r="T36" s="2">
        <v>0.2</v>
      </c>
      <c r="U36" s="6">
        <v>9.9467999999999979</v>
      </c>
      <c r="V36" s="4" t="str">
        <f t="shared" si="0"/>
        <v>Profit</v>
      </c>
      <c r="W36" s="4" t="str">
        <f t="shared" si="1"/>
        <v>Low</v>
      </c>
      <c r="X36" s="4" t="str">
        <f t="shared" si="2"/>
        <v>Normal Discount</v>
      </c>
      <c r="Y36" s="31" t="str">
        <f t="shared" si="3"/>
        <v>Normal</v>
      </c>
      <c r="Z36" s="31" t="str">
        <f t="shared" si="4"/>
        <v>Low Profit</v>
      </c>
      <c r="AA36" s="31">
        <f t="shared" si="5"/>
        <v>0</v>
      </c>
      <c r="AB36" s="31" t="str">
        <f t="shared" si="6"/>
        <v/>
      </c>
      <c r="AC36" s="31" t="str">
        <f t="shared" si="7"/>
        <v>Low Risk</v>
      </c>
      <c r="AD36" s="31" t="str">
        <f t="shared" si="8"/>
        <v>Normal</v>
      </c>
    </row>
    <row r="37" spans="1:30" x14ac:dyDescent="0.25">
      <c r="A37" s="5">
        <v>36</v>
      </c>
      <c r="B37" s="2" t="s">
        <v>186</v>
      </c>
      <c r="C37" s="3">
        <v>43077</v>
      </c>
      <c r="D37" s="3">
        <v>43079</v>
      </c>
      <c r="E37" s="2" t="s">
        <v>187</v>
      </c>
      <c r="F37" s="2" t="s">
        <v>188</v>
      </c>
      <c r="G37" s="2" t="s">
        <v>189</v>
      </c>
      <c r="H37" s="2" t="s">
        <v>40</v>
      </c>
      <c r="I37" s="2" t="s">
        <v>26</v>
      </c>
      <c r="J37" s="2" t="s">
        <v>190</v>
      </c>
      <c r="K37" s="2" t="s">
        <v>103</v>
      </c>
      <c r="L37" s="2">
        <v>75080</v>
      </c>
      <c r="M37" s="2" t="s">
        <v>104</v>
      </c>
      <c r="N37" s="2" t="s">
        <v>191</v>
      </c>
      <c r="O37" s="2" t="s">
        <v>70</v>
      </c>
      <c r="P37" s="2" t="s">
        <v>71</v>
      </c>
      <c r="Q37" s="2" t="s">
        <v>192</v>
      </c>
      <c r="R37" s="2">
        <v>1097.5440000000003</v>
      </c>
      <c r="S37" s="2">
        <v>7</v>
      </c>
      <c r="T37" s="2">
        <v>0.2</v>
      </c>
      <c r="U37" s="6">
        <v>123.47369999999989</v>
      </c>
      <c r="V37" s="4" t="str">
        <f t="shared" si="0"/>
        <v>Profit</v>
      </c>
      <c r="W37" s="4" t="str">
        <f t="shared" si="1"/>
        <v>High</v>
      </c>
      <c r="X37" s="4" t="str">
        <f t="shared" si="2"/>
        <v>Normal Discount</v>
      </c>
      <c r="Y37" s="31" t="str">
        <f t="shared" si="3"/>
        <v>Normal</v>
      </c>
      <c r="Z37" s="31" t="str">
        <f t="shared" si="4"/>
        <v>High Profit</v>
      </c>
      <c r="AA37" s="31">
        <f t="shared" si="5"/>
        <v>0</v>
      </c>
      <c r="AB37" s="31" t="str">
        <f t="shared" si="6"/>
        <v/>
      </c>
      <c r="AC37" s="31" t="str">
        <f t="shared" si="7"/>
        <v>Low Risk</v>
      </c>
      <c r="AD37" s="31" t="str">
        <f t="shared" si="8"/>
        <v>Normal</v>
      </c>
    </row>
  </sheetData>
  <conditionalFormatting sqref="X2:X37">
    <cfRule type="containsText" dxfId="7" priority="2" operator="containsText" text="High Risk">
      <formula>NOT(ISERROR(SEARCH("High Risk",X2)))</formula>
    </cfRule>
  </conditionalFormatting>
  <conditionalFormatting sqref="Y2:Y37">
    <cfRule type="containsText" dxfId="5" priority="1" operator="containsText" text="High Risk">
      <formula>NOT(ISERROR(SEARCH("High Risk",Y2)))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formatingsuperstore</vt:lpstr>
      <vt:lpstr>Sorting_Filtering</vt:lpstr>
      <vt:lpstr>Basic_Formulas</vt:lpstr>
      <vt:lpstr>IF_Analysis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Sheeva</dc:creator>
  <cp:lastModifiedBy>Sheeva Gholami</cp:lastModifiedBy>
  <dcterms:created xsi:type="dcterms:W3CDTF">2015-06-05T18:17:20Z</dcterms:created>
  <dcterms:modified xsi:type="dcterms:W3CDTF">2026-07-11T11:03:22Z</dcterms:modified>
</cp:coreProperties>
</file>